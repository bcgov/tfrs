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autoCompressPictures="0"/>
  <mc:AlternateContent xmlns:mc="http://schemas.openxmlformats.org/markup-compatibility/2006">
    <mc:Choice Requires="x15">
      <x15ac:absPath xmlns:x15ac="http://schemas.microsoft.com/office/spreadsheetml/2010/11/ac" url="C:\Users\swcur\repos\tfrs\APISpec\in\"/>
    </mc:Choice>
  </mc:AlternateContent>
  <bookViews>
    <workbookView xWindow="0" yWindow="0" windowWidth="17904" windowHeight="8796" tabRatio="684" xr2:uid="{00000000-000D-0000-FFFF-FFFF00000000}"/>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paths.csv!$A$1:$G$24</definedName>
  </definedNames>
  <calcPr calcId="171027"/>
</workbook>
</file>

<file path=xl/calcChain.xml><?xml version="1.0" encoding="utf-8"?>
<calcChain xmlns="http://schemas.openxmlformats.org/spreadsheetml/2006/main">
  <c r="I151" i="27" l="1"/>
  <c r="J151" i="27"/>
  <c r="K151" i="27"/>
  <c r="L151" i="27"/>
  <c r="M151" i="27"/>
  <c r="N151" i="27"/>
  <c r="O151" i="27"/>
  <c r="P151" i="27"/>
  <c r="Q151" i="27"/>
  <c r="R151" i="27"/>
  <c r="S151" i="27"/>
  <c r="T151" i="27"/>
  <c r="U151" i="27"/>
  <c r="V151" i="27"/>
  <c r="W151" i="27"/>
  <c r="Y151" i="27"/>
  <c r="Y22" i="27"/>
  <c r="W22" i="27"/>
  <c r="V22" i="27"/>
  <c r="U22" i="27"/>
  <c r="T22" i="27"/>
  <c r="S22" i="27"/>
  <c r="R22" i="27"/>
  <c r="Q22" i="27"/>
  <c r="P22" i="27"/>
  <c r="O22" i="27"/>
  <c r="N22" i="27"/>
  <c r="M22" i="27"/>
  <c r="L22" i="27"/>
  <c r="K22" i="27"/>
  <c r="J22" i="27"/>
  <c r="I22" i="27"/>
  <c r="X151" i="27"/>
  <c r="X22" i="27"/>
  <c r="S6" i="30" l="1"/>
  <c r="H6" i="30"/>
  <c r="I6" i="30"/>
  <c r="J6" i="30"/>
  <c r="K6" i="30"/>
  <c r="L6" i="30"/>
  <c r="M6" i="30"/>
  <c r="N6" i="30"/>
  <c r="O6" i="30"/>
  <c r="P6" i="30"/>
  <c r="Q6" i="30"/>
  <c r="R6" i="30"/>
  <c r="T6" i="30"/>
  <c r="U6" i="30"/>
  <c r="V6" i="30"/>
  <c r="H7" i="30"/>
  <c r="I7" i="30"/>
  <c r="J7" i="30"/>
  <c r="K7" i="30"/>
  <c r="L7" i="30"/>
  <c r="M7" i="30"/>
  <c r="N7" i="30"/>
  <c r="O7" i="30"/>
  <c r="P7" i="30"/>
  <c r="Q7" i="30"/>
  <c r="R7" i="30"/>
  <c r="S7" i="30"/>
  <c r="T7" i="30"/>
  <c r="U7" i="30"/>
  <c r="V7" i="30"/>
  <c r="I10" i="27" l="1"/>
  <c r="J10" i="27"/>
  <c r="K10" i="27"/>
  <c r="L10" i="27"/>
  <c r="M10" i="27"/>
  <c r="N10" i="27"/>
  <c r="O10" i="27"/>
  <c r="P10" i="27"/>
  <c r="Q10" i="27"/>
  <c r="R10" i="27"/>
  <c r="S10" i="27"/>
  <c r="T10" i="27"/>
  <c r="U10" i="27"/>
  <c r="V10" i="27"/>
  <c r="W10" i="27"/>
  <c r="Y10" i="27"/>
  <c r="Y47" i="27"/>
  <c r="W47" i="27"/>
  <c r="V47" i="27"/>
  <c r="U47" i="27"/>
  <c r="T47" i="27"/>
  <c r="S47" i="27"/>
  <c r="R47" i="27"/>
  <c r="Q47" i="27"/>
  <c r="P47" i="27"/>
  <c r="O47" i="27"/>
  <c r="N47" i="27"/>
  <c r="M47" i="27"/>
  <c r="L47" i="27"/>
  <c r="K47" i="27"/>
  <c r="J47" i="27"/>
  <c r="I47" i="27"/>
  <c r="Y46" i="27"/>
  <c r="W46" i="27"/>
  <c r="V46" i="27"/>
  <c r="U46" i="27"/>
  <c r="T46" i="27"/>
  <c r="S46" i="27"/>
  <c r="R46" i="27"/>
  <c r="Q46" i="27"/>
  <c r="P46" i="27"/>
  <c r="O46" i="27"/>
  <c r="N46" i="27"/>
  <c r="M46" i="27"/>
  <c r="L46" i="27"/>
  <c r="K46" i="27"/>
  <c r="J46" i="27"/>
  <c r="I46" i="27"/>
  <c r="Y45" i="27"/>
  <c r="W45" i="27"/>
  <c r="V45" i="27"/>
  <c r="U45" i="27"/>
  <c r="T45" i="27"/>
  <c r="S45" i="27"/>
  <c r="R45" i="27"/>
  <c r="Q45" i="27"/>
  <c r="P45" i="27"/>
  <c r="O45" i="27"/>
  <c r="N45" i="27"/>
  <c r="M45" i="27"/>
  <c r="L45" i="27"/>
  <c r="K45" i="27"/>
  <c r="J45" i="27"/>
  <c r="I45" i="27"/>
  <c r="Y44" i="27"/>
  <c r="W44" i="27"/>
  <c r="V44" i="27"/>
  <c r="U44" i="27"/>
  <c r="T44" i="27"/>
  <c r="S44" i="27"/>
  <c r="R44" i="27"/>
  <c r="Q44" i="27"/>
  <c r="P44" i="27"/>
  <c r="O44" i="27"/>
  <c r="N44" i="27"/>
  <c r="M44" i="27"/>
  <c r="L44" i="27"/>
  <c r="K44" i="27"/>
  <c r="J44" i="27"/>
  <c r="I44" i="27"/>
  <c r="Y43" i="27"/>
  <c r="W43" i="27"/>
  <c r="V43" i="27"/>
  <c r="U43" i="27"/>
  <c r="T43" i="27"/>
  <c r="S43" i="27"/>
  <c r="R43" i="27"/>
  <c r="Q43" i="27"/>
  <c r="P43" i="27"/>
  <c r="O43" i="27"/>
  <c r="N43" i="27"/>
  <c r="M43" i="27"/>
  <c r="L43" i="27"/>
  <c r="K43" i="27"/>
  <c r="J43" i="27"/>
  <c r="I43" i="27"/>
  <c r="Y42" i="27"/>
  <c r="W42" i="27"/>
  <c r="V42" i="27"/>
  <c r="U42" i="27"/>
  <c r="T42" i="27"/>
  <c r="S42" i="27"/>
  <c r="R42" i="27"/>
  <c r="Q42" i="27"/>
  <c r="P42" i="27"/>
  <c r="O42" i="27"/>
  <c r="N42" i="27"/>
  <c r="M42" i="27"/>
  <c r="L42" i="27"/>
  <c r="K42" i="27"/>
  <c r="J42" i="27"/>
  <c r="I42" i="27"/>
  <c r="Y41" i="27"/>
  <c r="W41" i="27"/>
  <c r="V41" i="27"/>
  <c r="U41" i="27"/>
  <c r="T41" i="27"/>
  <c r="S41" i="27"/>
  <c r="R41" i="27"/>
  <c r="Q41" i="27"/>
  <c r="P41" i="27"/>
  <c r="O41" i="27"/>
  <c r="N41" i="27"/>
  <c r="M41" i="27"/>
  <c r="L41" i="27"/>
  <c r="K41" i="27"/>
  <c r="J41" i="27"/>
  <c r="I41"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Y50" i="27"/>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Y52" i="27"/>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Y54" i="27"/>
  <c r="I55" i="27"/>
  <c r="J55" i="27"/>
  <c r="K55" i="27"/>
  <c r="L55" i="27"/>
  <c r="M55" i="27"/>
  <c r="N55" i="27"/>
  <c r="O55" i="27"/>
  <c r="P55" i="27"/>
  <c r="Q55" i="27"/>
  <c r="R55" i="27"/>
  <c r="S55" i="27"/>
  <c r="T55" i="27"/>
  <c r="U55" i="27"/>
  <c r="V55" i="27"/>
  <c r="W55" i="27"/>
  <c r="Y55" i="27"/>
  <c r="X44" i="27"/>
  <c r="X51" i="27"/>
  <c r="X47" i="27"/>
  <c r="X55" i="27"/>
  <c r="X42" i="27"/>
  <c r="X41" i="27"/>
  <c r="X43" i="27"/>
  <c r="X46" i="27"/>
  <c r="X50" i="27"/>
  <c r="X48" i="27"/>
  <c r="X53" i="27"/>
  <c r="X45" i="27"/>
  <c r="X49" i="27"/>
  <c r="X54" i="27"/>
  <c r="X52" i="27"/>
  <c r="X10" i="27"/>
  <c r="Y17" i="27" l="1"/>
  <c r="W17" i="27"/>
  <c r="V17" i="27"/>
  <c r="U17" i="27"/>
  <c r="T17" i="27"/>
  <c r="S17" i="27"/>
  <c r="R17" i="27"/>
  <c r="Q17" i="27"/>
  <c r="P17" i="27"/>
  <c r="O17" i="27"/>
  <c r="N17" i="27"/>
  <c r="M17" i="27"/>
  <c r="L17" i="27"/>
  <c r="K17" i="27"/>
  <c r="J17" i="27"/>
  <c r="I17" i="27"/>
  <c r="X17" i="27"/>
  <c r="S24" i="30" l="1"/>
  <c r="H24" i="30"/>
  <c r="I24" i="30"/>
  <c r="J24" i="30"/>
  <c r="K24" i="30"/>
  <c r="L24" i="30"/>
  <c r="M24" i="30"/>
  <c r="N24" i="30"/>
  <c r="O24" i="30"/>
  <c r="P24" i="30"/>
  <c r="Q24" i="30"/>
  <c r="R24" i="30"/>
  <c r="T24" i="30"/>
  <c r="U24" i="30"/>
  <c r="V24" i="30"/>
  <c r="I152" i="27"/>
  <c r="I153" i="27"/>
  <c r="I154" i="27"/>
  <c r="I155" i="27"/>
  <c r="J152" i="27"/>
  <c r="J153" i="27"/>
  <c r="J154" i="27"/>
  <c r="J155" i="27"/>
  <c r="K152" i="27"/>
  <c r="K153" i="27"/>
  <c r="K154" i="27"/>
  <c r="K155" i="27"/>
  <c r="L152" i="27"/>
  <c r="L153" i="27"/>
  <c r="L154" i="27"/>
  <c r="L155" i="27"/>
  <c r="M152" i="27"/>
  <c r="M153" i="27"/>
  <c r="M154" i="27"/>
  <c r="M155" i="27"/>
  <c r="N152" i="27"/>
  <c r="N153" i="27"/>
  <c r="N154" i="27"/>
  <c r="N155" i="27"/>
  <c r="O152" i="27"/>
  <c r="O153" i="27"/>
  <c r="O154" i="27"/>
  <c r="O155" i="27"/>
  <c r="P152" i="27"/>
  <c r="P153" i="27"/>
  <c r="P154" i="27"/>
  <c r="P155" i="27"/>
  <c r="Q152" i="27"/>
  <c r="Q153" i="27"/>
  <c r="Q154" i="27"/>
  <c r="Q155" i="27"/>
  <c r="R152" i="27"/>
  <c r="R153" i="27"/>
  <c r="R154" i="27"/>
  <c r="R155" i="27"/>
  <c r="S152" i="27"/>
  <c r="S153" i="27"/>
  <c r="S154" i="27"/>
  <c r="S155" i="27"/>
  <c r="T152" i="27"/>
  <c r="T153" i="27"/>
  <c r="T154" i="27"/>
  <c r="T155" i="27"/>
  <c r="U152" i="27"/>
  <c r="U153" i="27"/>
  <c r="U154" i="27"/>
  <c r="U155" i="27"/>
  <c r="V152" i="27"/>
  <c r="V153" i="27"/>
  <c r="V154" i="27"/>
  <c r="V155" i="27"/>
  <c r="W152" i="27"/>
  <c r="W153" i="27"/>
  <c r="W154" i="27"/>
  <c r="W155" i="27"/>
  <c r="Y152" i="27"/>
  <c r="Y153" i="27"/>
  <c r="Y154" i="27"/>
  <c r="Y155" i="27"/>
  <c r="X154" i="27"/>
  <c r="X152" i="27"/>
  <c r="X155" i="27"/>
  <c r="X153" i="27"/>
  <c r="S19" i="30" l="1"/>
  <c r="H19" i="30"/>
  <c r="I19" i="30"/>
  <c r="J19" i="30"/>
  <c r="K19" i="30"/>
  <c r="L19" i="30"/>
  <c r="M19" i="30"/>
  <c r="N19" i="30"/>
  <c r="O19" i="30"/>
  <c r="P19" i="30"/>
  <c r="Q19" i="30"/>
  <c r="R19" i="30"/>
  <c r="T19" i="30"/>
  <c r="U19" i="30"/>
  <c r="V19" i="30"/>
  <c r="S16" i="30"/>
  <c r="H16" i="30"/>
  <c r="I16" i="30"/>
  <c r="J16" i="30"/>
  <c r="K16" i="30"/>
  <c r="L16" i="30"/>
  <c r="M16" i="30"/>
  <c r="N16" i="30"/>
  <c r="O16" i="30"/>
  <c r="P16" i="30"/>
  <c r="Q16" i="30"/>
  <c r="R16" i="30"/>
  <c r="T16" i="30"/>
  <c r="U16" i="30"/>
  <c r="V16" i="30"/>
  <c r="H11" i="30"/>
  <c r="I11" i="30"/>
  <c r="J11" i="30"/>
  <c r="K11" i="30"/>
  <c r="L11" i="30"/>
  <c r="M11" i="30"/>
  <c r="N11" i="30"/>
  <c r="O11" i="30"/>
  <c r="P11" i="30"/>
  <c r="Q11" i="30"/>
  <c r="R11" i="30"/>
  <c r="S11" i="30"/>
  <c r="T11" i="30"/>
  <c r="U11" i="30"/>
  <c r="V11" i="30"/>
  <c r="S8" i="30"/>
  <c r="H8" i="30"/>
  <c r="I8" i="30"/>
  <c r="J8" i="30"/>
  <c r="K8" i="30"/>
  <c r="L8" i="30"/>
  <c r="M8" i="30"/>
  <c r="N8" i="30"/>
  <c r="O8" i="30"/>
  <c r="P8" i="30"/>
  <c r="Q8" i="30"/>
  <c r="R8" i="30"/>
  <c r="T8" i="30"/>
  <c r="U8" i="30"/>
  <c r="V8" i="30"/>
  <c r="I137" i="27" l="1"/>
  <c r="J137" i="27"/>
  <c r="K137" i="27"/>
  <c r="L137" i="27"/>
  <c r="M137" i="27"/>
  <c r="N137" i="27"/>
  <c r="O137" i="27"/>
  <c r="P137" i="27"/>
  <c r="Q137" i="27"/>
  <c r="R137" i="27"/>
  <c r="S137" i="27"/>
  <c r="T137" i="27"/>
  <c r="U137" i="27"/>
  <c r="V137" i="27"/>
  <c r="W137" i="27"/>
  <c r="Y137" i="27"/>
  <c r="I131" i="27"/>
  <c r="I132" i="27"/>
  <c r="I133" i="27"/>
  <c r="I134" i="27"/>
  <c r="I135" i="27"/>
  <c r="I136" i="27"/>
  <c r="J131" i="27"/>
  <c r="J132" i="27"/>
  <c r="J133" i="27"/>
  <c r="J134" i="27"/>
  <c r="J135" i="27"/>
  <c r="J136" i="27"/>
  <c r="K131" i="27"/>
  <c r="K132" i="27"/>
  <c r="K133" i="27"/>
  <c r="K134" i="27"/>
  <c r="K135" i="27"/>
  <c r="K136" i="27"/>
  <c r="L131" i="27"/>
  <c r="L132" i="27"/>
  <c r="L133" i="27"/>
  <c r="L134" i="27"/>
  <c r="L135" i="27"/>
  <c r="L136" i="27"/>
  <c r="M131" i="27"/>
  <c r="M132" i="27"/>
  <c r="M133" i="27"/>
  <c r="M134" i="27"/>
  <c r="M135" i="27"/>
  <c r="M136" i="27"/>
  <c r="N131" i="27"/>
  <c r="N132" i="27"/>
  <c r="N133" i="27"/>
  <c r="N134" i="27"/>
  <c r="N135" i="27"/>
  <c r="N136" i="27"/>
  <c r="O131" i="27"/>
  <c r="O132" i="27"/>
  <c r="O133" i="27"/>
  <c r="O134" i="27"/>
  <c r="O135" i="27"/>
  <c r="O136" i="27"/>
  <c r="P131" i="27"/>
  <c r="P132" i="27"/>
  <c r="P133" i="27"/>
  <c r="P134" i="27"/>
  <c r="P135" i="27"/>
  <c r="P136" i="27"/>
  <c r="Q131" i="27"/>
  <c r="Q132" i="27"/>
  <c r="Q133" i="27"/>
  <c r="Q134" i="27"/>
  <c r="Q135" i="27"/>
  <c r="Q136" i="27"/>
  <c r="R131" i="27"/>
  <c r="R132" i="27"/>
  <c r="R133" i="27"/>
  <c r="R134" i="27"/>
  <c r="R135" i="27"/>
  <c r="R136" i="27"/>
  <c r="S131" i="27"/>
  <c r="S132" i="27"/>
  <c r="S133" i="27"/>
  <c r="S134" i="27"/>
  <c r="S135" i="27"/>
  <c r="S136" i="27"/>
  <c r="T131" i="27"/>
  <c r="T132" i="27"/>
  <c r="T133" i="27"/>
  <c r="T134" i="27"/>
  <c r="T135" i="27"/>
  <c r="T136" i="27"/>
  <c r="U131" i="27"/>
  <c r="U132" i="27"/>
  <c r="U133" i="27"/>
  <c r="U134" i="27"/>
  <c r="U135" i="27"/>
  <c r="U136" i="27"/>
  <c r="V131" i="27"/>
  <c r="V132" i="27"/>
  <c r="V133" i="27"/>
  <c r="V134" i="27"/>
  <c r="V135" i="27"/>
  <c r="V136" i="27"/>
  <c r="W131" i="27"/>
  <c r="W132" i="27"/>
  <c r="W133" i="27"/>
  <c r="W134" i="27"/>
  <c r="W135" i="27"/>
  <c r="W136" i="27"/>
  <c r="Y131" i="27"/>
  <c r="Y132" i="27"/>
  <c r="Y133" i="27"/>
  <c r="Y134" i="27"/>
  <c r="Y135" i="27"/>
  <c r="Y136" i="27"/>
  <c r="I14" i="27"/>
  <c r="J14" i="27"/>
  <c r="K14" i="27"/>
  <c r="L14" i="27"/>
  <c r="M14" i="27"/>
  <c r="N14" i="27"/>
  <c r="O14" i="27"/>
  <c r="P14" i="27"/>
  <c r="Q14" i="27"/>
  <c r="R14" i="27"/>
  <c r="S14" i="27"/>
  <c r="T14" i="27"/>
  <c r="U14" i="27"/>
  <c r="V14" i="27"/>
  <c r="W14" i="27"/>
  <c r="Y14" i="27"/>
  <c r="X137" i="27"/>
  <c r="X14" i="27"/>
  <c r="X132" i="27"/>
  <c r="X136" i="27"/>
  <c r="X131" i="27"/>
  <c r="X133" i="27"/>
  <c r="X134" i="27"/>
  <c r="X135" i="27"/>
  <c r="I40" i="27" l="1"/>
  <c r="J40" i="27"/>
  <c r="K40" i="27"/>
  <c r="L40" i="27"/>
  <c r="M40" i="27"/>
  <c r="N40" i="27"/>
  <c r="O40" i="27"/>
  <c r="P40" i="27"/>
  <c r="Q40" i="27"/>
  <c r="R40" i="27"/>
  <c r="S40" i="27"/>
  <c r="T40" i="27"/>
  <c r="U40" i="27"/>
  <c r="W40" i="27"/>
  <c r="Y40" i="27"/>
  <c r="Y57" i="27"/>
  <c r="W57" i="27"/>
  <c r="U57" i="27"/>
  <c r="T57" i="27"/>
  <c r="S57" i="27"/>
  <c r="R57" i="27"/>
  <c r="Q57" i="27"/>
  <c r="P57" i="27"/>
  <c r="O57" i="27"/>
  <c r="N57" i="27"/>
  <c r="M57" i="27"/>
  <c r="L57" i="27"/>
  <c r="K57" i="27"/>
  <c r="J57" i="27"/>
  <c r="I57" i="27"/>
  <c r="I79" i="27"/>
  <c r="I80" i="27"/>
  <c r="I81" i="27"/>
  <c r="I82" i="27"/>
  <c r="I83" i="27"/>
  <c r="I84" i="27"/>
  <c r="J79" i="27"/>
  <c r="J80" i="27"/>
  <c r="J81" i="27"/>
  <c r="J82" i="27"/>
  <c r="J83" i="27"/>
  <c r="J84" i="27"/>
  <c r="K79" i="27"/>
  <c r="K80" i="27"/>
  <c r="K81" i="27"/>
  <c r="K82" i="27"/>
  <c r="K83" i="27"/>
  <c r="K84" i="27"/>
  <c r="L79" i="27"/>
  <c r="L80" i="27"/>
  <c r="L81" i="27"/>
  <c r="L82" i="27"/>
  <c r="L83" i="27"/>
  <c r="L84" i="27"/>
  <c r="M79" i="27"/>
  <c r="M80" i="27"/>
  <c r="M81" i="27"/>
  <c r="M82" i="27"/>
  <c r="M83" i="27"/>
  <c r="M84" i="27"/>
  <c r="N79" i="27"/>
  <c r="N80" i="27"/>
  <c r="N81" i="27"/>
  <c r="N82" i="27"/>
  <c r="N83" i="27"/>
  <c r="N84" i="27"/>
  <c r="O79" i="27"/>
  <c r="O80" i="27"/>
  <c r="O81" i="27"/>
  <c r="O82" i="27"/>
  <c r="O83" i="27"/>
  <c r="O84" i="27"/>
  <c r="P79" i="27"/>
  <c r="P80" i="27"/>
  <c r="P81" i="27"/>
  <c r="P82" i="27"/>
  <c r="P83" i="27"/>
  <c r="P84" i="27"/>
  <c r="Q79" i="27"/>
  <c r="Q80" i="27"/>
  <c r="Q81" i="27"/>
  <c r="Q82" i="27"/>
  <c r="Q83" i="27"/>
  <c r="Q84" i="27"/>
  <c r="R79" i="27"/>
  <c r="R80" i="27"/>
  <c r="R81" i="27"/>
  <c r="R82" i="27"/>
  <c r="R83" i="27"/>
  <c r="R84" i="27"/>
  <c r="S79" i="27"/>
  <c r="S80" i="27"/>
  <c r="S81" i="27"/>
  <c r="S82" i="27"/>
  <c r="S83" i="27"/>
  <c r="S84" i="27"/>
  <c r="T79" i="27"/>
  <c r="T80" i="27"/>
  <c r="T81" i="27"/>
  <c r="T82" i="27"/>
  <c r="T83" i="27"/>
  <c r="T84" i="27"/>
  <c r="U79" i="27"/>
  <c r="U80" i="27"/>
  <c r="U81" i="27"/>
  <c r="U82" i="27"/>
  <c r="U83" i="27"/>
  <c r="U84" i="27"/>
  <c r="W79" i="27"/>
  <c r="W80" i="27"/>
  <c r="W81" i="27"/>
  <c r="W82" i="27"/>
  <c r="W83" i="27"/>
  <c r="W84" i="27"/>
  <c r="Y79" i="27"/>
  <c r="Y80" i="27"/>
  <c r="Y81" i="27"/>
  <c r="Y82" i="27"/>
  <c r="Y83" i="27"/>
  <c r="Y84" i="27"/>
  <c r="X84" i="27"/>
  <c r="X40" i="27"/>
  <c r="X83" i="27"/>
  <c r="X80" i="27"/>
  <c r="X81" i="27"/>
  <c r="X79" i="27"/>
  <c r="X82" i="27"/>
  <c r="X57" i="27"/>
  <c r="I25" i="27" l="1"/>
  <c r="J25" i="27"/>
  <c r="K25" i="27"/>
  <c r="L25" i="27"/>
  <c r="M25" i="27"/>
  <c r="N25" i="27"/>
  <c r="O25" i="27"/>
  <c r="P25" i="27"/>
  <c r="Q25" i="27"/>
  <c r="R25" i="27"/>
  <c r="S25" i="27"/>
  <c r="T25" i="27"/>
  <c r="U25" i="27"/>
  <c r="W25" i="27"/>
  <c r="Y25" i="27"/>
  <c r="I24" i="27"/>
  <c r="J24" i="27"/>
  <c r="K24" i="27"/>
  <c r="L24" i="27"/>
  <c r="M24" i="27"/>
  <c r="N24" i="27"/>
  <c r="O24" i="27"/>
  <c r="P24" i="27"/>
  <c r="Q24" i="27"/>
  <c r="R24" i="27"/>
  <c r="S24" i="27"/>
  <c r="T24" i="27"/>
  <c r="U24" i="27"/>
  <c r="W24" i="27"/>
  <c r="Y24" i="27"/>
  <c r="I107" i="27"/>
  <c r="J107" i="27"/>
  <c r="K107" i="27"/>
  <c r="L107" i="27"/>
  <c r="M107" i="27"/>
  <c r="N107" i="27"/>
  <c r="O107" i="27"/>
  <c r="P107" i="27"/>
  <c r="Q107" i="27"/>
  <c r="R107" i="27"/>
  <c r="S107" i="27"/>
  <c r="T107" i="27"/>
  <c r="U107" i="27"/>
  <c r="W107" i="27"/>
  <c r="Y107" i="27"/>
  <c r="I104" i="27"/>
  <c r="I105" i="27"/>
  <c r="I106" i="27"/>
  <c r="J104" i="27"/>
  <c r="J105" i="27"/>
  <c r="J106" i="27"/>
  <c r="K104" i="27"/>
  <c r="K105" i="27"/>
  <c r="K106" i="27"/>
  <c r="L104" i="27"/>
  <c r="L105" i="27"/>
  <c r="L106" i="27"/>
  <c r="M104" i="27"/>
  <c r="M105" i="27"/>
  <c r="M106" i="27"/>
  <c r="N104" i="27"/>
  <c r="N105" i="27"/>
  <c r="N106" i="27"/>
  <c r="O104" i="27"/>
  <c r="O105" i="27"/>
  <c r="O106" i="27"/>
  <c r="P104" i="27"/>
  <c r="P105" i="27"/>
  <c r="P106" i="27"/>
  <c r="Q104" i="27"/>
  <c r="Q105" i="27"/>
  <c r="Q106" i="27"/>
  <c r="R104" i="27"/>
  <c r="R105" i="27"/>
  <c r="R106" i="27"/>
  <c r="S104" i="27"/>
  <c r="S105" i="27"/>
  <c r="S106" i="27"/>
  <c r="T104" i="27"/>
  <c r="T105" i="27"/>
  <c r="T106" i="27"/>
  <c r="U104" i="27"/>
  <c r="U105" i="27"/>
  <c r="U106" i="27"/>
  <c r="W104" i="27"/>
  <c r="W105" i="27"/>
  <c r="W106" i="27"/>
  <c r="Y104" i="27"/>
  <c r="Y105" i="27"/>
  <c r="Y106" i="27"/>
  <c r="I103" i="27"/>
  <c r="J103" i="27"/>
  <c r="K103" i="27"/>
  <c r="L103" i="27"/>
  <c r="M103" i="27"/>
  <c r="N103" i="27"/>
  <c r="O103" i="27"/>
  <c r="P103" i="27"/>
  <c r="Q103" i="27"/>
  <c r="R103" i="27"/>
  <c r="S103" i="27"/>
  <c r="T103" i="27"/>
  <c r="U103" i="27"/>
  <c r="W103" i="27"/>
  <c r="Y103" i="27"/>
  <c r="I58" i="27"/>
  <c r="J58" i="27"/>
  <c r="K58" i="27"/>
  <c r="L58" i="27"/>
  <c r="M58" i="27"/>
  <c r="N58" i="27"/>
  <c r="O58" i="27"/>
  <c r="P58" i="27"/>
  <c r="Q58" i="27"/>
  <c r="R58" i="27"/>
  <c r="S58" i="27"/>
  <c r="T58" i="27"/>
  <c r="U58" i="27"/>
  <c r="W58" i="27"/>
  <c r="Y58" i="27"/>
  <c r="I63" i="27"/>
  <c r="J63" i="27"/>
  <c r="K63" i="27"/>
  <c r="L63" i="27"/>
  <c r="M63" i="27"/>
  <c r="N63" i="27"/>
  <c r="O63" i="27"/>
  <c r="P63" i="27"/>
  <c r="Q63" i="27"/>
  <c r="R63" i="27"/>
  <c r="S63" i="27"/>
  <c r="T63" i="27"/>
  <c r="U63" i="27"/>
  <c r="W63" i="27"/>
  <c r="Y63" i="27"/>
  <c r="I56" i="27"/>
  <c r="I59" i="27"/>
  <c r="I60" i="27"/>
  <c r="I61" i="27"/>
  <c r="I62" i="27"/>
  <c r="I64" i="27"/>
  <c r="J56" i="27"/>
  <c r="J59" i="27"/>
  <c r="J60" i="27"/>
  <c r="J61" i="27"/>
  <c r="J62" i="27"/>
  <c r="J64" i="27"/>
  <c r="K56" i="27"/>
  <c r="K59" i="27"/>
  <c r="K60" i="27"/>
  <c r="K61" i="27"/>
  <c r="K62" i="27"/>
  <c r="K64" i="27"/>
  <c r="L56" i="27"/>
  <c r="L59" i="27"/>
  <c r="L60" i="27"/>
  <c r="L61" i="27"/>
  <c r="L62" i="27"/>
  <c r="L64" i="27"/>
  <c r="M56" i="27"/>
  <c r="M59" i="27"/>
  <c r="M60" i="27"/>
  <c r="M61" i="27"/>
  <c r="M62" i="27"/>
  <c r="M64" i="27"/>
  <c r="N56" i="27"/>
  <c r="N59" i="27"/>
  <c r="N60" i="27"/>
  <c r="N61" i="27"/>
  <c r="N62" i="27"/>
  <c r="N64" i="27"/>
  <c r="O56" i="27"/>
  <c r="O59" i="27"/>
  <c r="O60" i="27"/>
  <c r="O61" i="27"/>
  <c r="O62" i="27"/>
  <c r="O64" i="27"/>
  <c r="P56" i="27"/>
  <c r="P59" i="27"/>
  <c r="P60" i="27"/>
  <c r="P61" i="27"/>
  <c r="P62" i="27"/>
  <c r="P64" i="27"/>
  <c r="Q56" i="27"/>
  <c r="Q59" i="27"/>
  <c r="Q60" i="27"/>
  <c r="Q61" i="27"/>
  <c r="Q62" i="27"/>
  <c r="Q64" i="27"/>
  <c r="R56" i="27"/>
  <c r="R59" i="27"/>
  <c r="R60" i="27"/>
  <c r="R61" i="27"/>
  <c r="R62" i="27"/>
  <c r="R64" i="27"/>
  <c r="S56" i="27"/>
  <c r="S59" i="27"/>
  <c r="S60" i="27"/>
  <c r="S61" i="27"/>
  <c r="S62" i="27"/>
  <c r="S64" i="27"/>
  <c r="T56" i="27"/>
  <c r="T59" i="27"/>
  <c r="T60" i="27"/>
  <c r="T61" i="27"/>
  <c r="T62" i="27"/>
  <c r="T64" i="27"/>
  <c r="U56" i="27"/>
  <c r="U59" i="27"/>
  <c r="U60" i="27"/>
  <c r="U61" i="27"/>
  <c r="U62" i="27"/>
  <c r="U64" i="27"/>
  <c r="W56" i="27"/>
  <c r="W59" i="27"/>
  <c r="W60" i="27"/>
  <c r="W61" i="27"/>
  <c r="W62" i="27"/>
  <c r="W64" i="27"/>
  <c r="Y56" i="27"/>
  <c r="Y59" i="27"/>
  <c r="Y60" i="27"/>
  <c r="Y61" i="27"/>
  <c r="Y62" i="27"/>
  <c r="Y64" i="27"/>
  <c r="Y77" i="27"/>
  <c r="W77" i="27"/>
  <c r="U77" i="27"/>
  <c r="T77" i="27"/>
  <c r="S77" i="27"/>
  <c r="R77" i="27"/>
  <c r="Q77" i="27"/>
  <c r="P77" i="27"/>
  <c r="O77" i="27"/>
  <c r="N77" i="27"/>
  <c r="M77" i="27"/>
  <c r="L77" i="27"/>
  <c r="K77" i="27"/>
  <c r="J77" i="27"/>
  <c r="I77" i="27"/>
  <c r="Y38" i="27"/>
  <c r="W38" i="27"/>
  <c r="U38" i="27"/>
  <c r="T38" i="27"/>
  <c r="S38" i="27"/>
  <c r="R38" i="27"/>
  <c r="Q38" i="27"/>
  <c r="P38" i="27"/>
  <c r="O38" i="27"/>
  <c r="N38" i="27"/>
  <c r="M38" i="27"/>
  <c r="L38" i="27"/>
  <c r="K38" i="27"/>
  <c r="J38" i="27"/>
  <c r="I38" i="27"/>
  <c r="X58" i="27"/>
  <c r="X56" i="27"/>
  <c r="X77" i="27"/>
  <c r="X62" i="27"/>
  <c r="X105" i="27"/>
  <c r="X61" i="27"/>
  <c r="X103" i="27"/>
  <c r="X63" i="27"/>
  <c r="X106" i="27"/>
  <c r="X107" i="27"/>
  <c r="X59" i="27"/>
  <c r="X104" i="27"/>
  <c r="X38" i="27"/>
  <c r="X64" i="27"/>
  <c r="X60" i="27"/>
  <c r="I78" i="27" l="1"/>
  <c r="J78" i="27"/>
  <c r="K78" i="27"/>
  <c r="L78" i="27"/>
  <c r="M78" i="27"/>
  <c r="N78" i="27"/>
  <c r="O78" i="27"/>
  <c r="P78" i="27"/>
  <c r="Q78" i="27"/>
  <c r="R78" i="27"/>
  <c r="S78" i="27"/>
  <c r="T78" i="27"/>
  <c r="U78" i="27"/>
  <c r="W78" i="27"/>
  <c r="Y78" i="27"/>
  <c r="I39" i="27"/>
  <c r="J39" i="27"/>
  <c r="K39" i="27"/>
  <c r="L39" i="27"/>
  <c r="M39" i="27"/>
  <c r="N39" i="27"/>
  <c r="O39" i="27"/>
  <c r="P39" i="27"/>
  <c r="Q39" i="27"/>
  <c r="R39" i="27"/>
  <c r="S39" i="27"/>
  <c r="T39" i="27"/>
  <c r="U39" i="27"/>
  <c r="W39" i="27"/>
  <c r="Y39" i="27"/>
  <c r="I32" i="27"/>
  <c r="J32" i="27"/>
  <c r="K32" i="27"/>
  <c r="L32" i="27"/>
  <c r="M32" i="27"/>
  <c r="N32" i="27"/>
  <c r="O32" i="27"/>
  <c r="P32" i="27"/>
  <c r="Q32" i="27"/>
  <c r="R32" i="27"/>
  <c r="S32" i="27"/>
  <c r="T32" i="27"/>
  <c r="U32" i="27"/>
  <c r="W32" i="27"/>
  <c r="Y32" i="27"/>
  <c r="I74" i="27"/>
  <c r="I75" i="27"/>
  <c r="I76" i="27"/>
  <c r="J74" i="27"/>
  <c r="J75" i="27"/>
  <c r="J76" i="27"/>
  <c r="K74" i="27"/>
  <c r="K75" i="27"/>
  <c r="K76" i="27"/>
  <c r="L74" i="27"/>
  <c r="L75" i="27"/>
  <c r="L76" i="27"/>
  <c r="M74" i="27"/>
  <c r="M75" i="27"/>
  <c r="M76" i="27"/>
  <c r="N74" i="27"/>
  <c r="N75" i="27"/>
  <c r="N76" i="27"/>
  <c r="O74" i="27"/>
  <c r="O75" i="27"/>
  <c r="O76" i="27"/>
  <c r="P74" i="27"/>
  <c r="P75" i="27"/>
  <c r="P76" i="27"/>
  <c r="Q74" i="27"/>
  <c r="Q75" i="27"/>
  <c r="Q76" i="27"/>
  <c r="R74" i="27"/>
  <c r="R75" i="27"/>
  <c r="R76" i="27"/>
  <c r="S74" i="27"/>
  <c r="S75" i="27"/>
  <c r="S76" i="27"/>
  <c r="T74" i="27"/>
  <c r="T75" i="27"/>
  <c r="T76" i="27"/>
  <c r="U74" i="27"/>
  <c r="U75" i="27"/>
  <c r="U76" i="27"/>
  <c r="W74" i="27"/>
  <c r="W75" i="27"/>
  <c r="W76" i="27"/>
  <c r="Y74" i="27"/>
  <c r="Y75" i="27"/>
  <c r="Y76" i="27"/>
  <c r="I36" i="27"/>
  <c r="I37" i="27"/>
  <c r="J36" i="27"/>
  <c r="J37" i="27"/>
  <c r="K36" i="27"/>
  <c r="K37" i="27"/>
  <c r="L36" i="27"/>
  <c r="L37" i="27"/>
  <c r="M36" i="27"/>
  <c r="M37" i="27"/>
  <c r="N36" i="27"/>
  <c r="N37" i="27"/>
  <c r="O36" i="27"/>
  <c r="O37" i="27"/>
  <c r="P36" i="27"/>
  <c r="P37" i="27"/>
  <c r="Q36" i="27"/>
  <c r="Q37" i="27"/>
  <c r="R36" i="27"/>
  <c r="R37" i="27"/>
  <c r="S36" i="27"/>
  <c r="S37" i="27"/>
  <c r="T36" i="27"/>
  <c r="T37" i="27"/>
  <c r="U36" i="27"/>
  <c r="U37" i="27"/>
  <c r="W36" i="27"/>
  <c r="W37" i="27"/>
  <c r="Y36" i="27"/>
  <c r="Y37" i="27"/>
  <c r="I29" i="27"/>
  <c r="I30" i="27"/>
  <c r="I31" i="27"/>
  <c r="J29" i="27"/>
  <c r="J30" i="27"/>
  <c r="J31" i="27"/>
  <c r="K29" i="27"/>
  <c r="K30" i="27"/>
  <c r="K31" i="27"/>
  <c r="L29" i="27"/>
  <c r="L30" i="27"/>
  <c r="L31" i="27"/>
  <c r="M29" i="27"/>
  <c r="M30" i="27"/>
  <c r="M31" i="27"/>
  <c r="N29" i="27"/>
  <c r="N30" i="27"/>
  <c r="N31" i="27"/>
  <c r="O29" i="27"/>
  <c r="O30" i="27"/>
  <c r="O31" i="27"/>
  <c r="P29" i="27"/>
  <c r="P30" i="27"/>
  <c r="P31" i="27"/>
  <c r="Q29" i="27"/>
  <c r="Q30" i="27"/>
  <c r="Q31" i="27"/>
  <c r="R29" i="27"/>
  <c r="R30" i="27"/>
  <c r="R31" i="27"/>
  <c r="S29" i="27"/>
  <c r="S30" i="27"/>
  <c r="S31" i="27"/>
  <c r="T29" i="27"/>
  <c r="T30" i="27"/>
  <c r="T31" i="27"/>
  <c r="U29" i="27"/>
  <c r="U30" i="27"/>
  <c r="U31" i="27"/>
  <c r="W29" i="27"/>
  <c r="W30" i="27"/>
  <c r="W31" i="27"/>
  <c r="Y29" i="27"/>
  <c r="Y30" i="27"/>
  <c r="Y31" i="27"/>
  <c r="I110" i="27"/>
  <c r="J110" i="27"/>
  <c r="K110" i="27"/>
  <c r="L110" i="27"/>
  <c r="M110" i="27"/>
  <c r="N110" i="27"/>
  <c r="O110" i="27"/>
  <c r="P110" i="27"/>
  <c r="Q110" i="27"/>
  <c r="R110" i="27"/>
  <c r="S110" i="27"/>
  <c r="T110" i="27"/>
  <c r="U110" i="27"/>
  <c r="W110" i="27"/>
  <c r="Y110" i="27"/>
  <c r="I99" i="27"/>
  <c r="J99" i="27"/>
  <c r="K99" i="27"/>
  <c r="L99" i="27"/>
  <c r="M99" i="27"/>
  <c r="N99" i="27"/>
  <c r="O99" i="27"/>
  <c r="P99" i="27"/>
  <c r="Q99" i="27"/>
  <c r="R99" i="27"/>
  <c r="S99" i="27"/>
  <c r="T99" i="27"/>
  <c r="U99" i="27"/>
  <c r="W99" i="27"/>
  <c r="Y99" i="27"/>
  <c r="I88" i="27"/>
  <c r="J88" i="27"/>
  <c r="K88" i="27"/>
  <c r="L88" i="27"/>
  <c r="M88" i="27"/>
  <c r="N88" i="27"/>
  <c r="O88" i="27"/>
  <c r="P88" i="27"/>
  <c r="Q88" i="27"/>
  <c r="R88" i="27"/>
  <c r="S88" i="27"/>
  <c r="T88" i="27"/>
  <c r="U88" i="27"/>
  <c r="W88" i="27"/>
  <c r="Y88" i="27"/>
  <c r="X36" i="27"/>
  <c r="X31" i="27"/>
  <c r="X78" i="27"/>
  <c r="X39" i="27"/>
  <c r="X29" i="27"/>
  <c r="X74" i="27"/>
  <c r="X99" i="27"/>
  <c r="X76" i="27"/>
  <c r="X75" i="27"/>
  <c r="X24" i="27"/>
  <c r="X25" i="27"/>
  <c r="X32" i="27"/>
  <c r="X30" i="27"/>
  <c r="X37" i="27"/>
  <c r="X110" i="27"/>
  <c r="X88" i="27"/>
  <c r="H9" i="30" l="1"/>
  <c r="I9" i="30"/>
  <c r="J9" i="30"/>
  <c r="K9" i="30"/>
  <c r="L9" i="30"/>
  <c r="M9" i="30"/>
  <c r="N9" i="30"/>
  <c r="O9" i="30"/>
  <c r="P9" i="30"/>
  <c r="Q9" i="30"/>
  <c r="R9" i="30"/>
  <c r="S9" i="30"/>
  <c r="T9" i="30"/>
  <c r="U9" i="30"/>
  <c r="V9" i="30"/>
  <c r="I71" i="27"/>
  <c r="J71" i="27"/>
  <c r="K71" i="27"/>
  <c r="L71" i="27"/>
  <c r="M71" i="27"/>
  <c r="N71" i="27"/>
  <c r="O71" i="27"/>
  <c r="P71" i="27"/>
  <c r="Q71" i="27"/>
  <c r="R71" i="27"/>
  <c r="S71" i="27"/>
  <c r="T71" i="27"/>
  <c r="U71" i="27"/>
  <c r="W71" i="27"/>
  <c r="Y71" i="27"/>
  <c r="I70" i="27"/>
  <c r="J70" i="27"/>
  <c r="K70" i="27"/>
  <c r="L70" i="27"/>
  <c r="M70" i="27"/>
  <c r="N70" i="27"/>
  <c r="O70" i="27"/>
  <c r="P70" i="27"/>
  <c r="Q70" i="27"/>
  <c r="R70" i="27"/>
  <c r="S70" i="27"/>
  <c r="T70" i="27"/>
  <c r="U70" i="27"/>
  <c r="W70" i="27"/>
  <c r="Y70" i="27"/>
  <c r="I67" i="27"/>
  <c r="J67" i="27"/>
  <c r="K67" i="27"/>
  <c r="L67" i="27"/>
  <c r="M67" i="27"/>
  <c r="N67" i="27"/>
  <c r="O67" i="27"/>
  <c r="P67" i="27"/>
  <c r="Q67" i="27"/>
  <c r="R67" i="27"/>
  <c r="S67" i="27"/>
  <c r="T67" i="27"/>
  <c r="U67" i="27"/>
  <c r="W67" i="27"/>
  <c r="Y67" i="27"/>
  <c r="I68" i="27"/>
  <c r="I69" i="27"/>
  <c r="J68" i="27"/>
  <c r="J69" i="27"/>
  <c r="K68" i="27"/>
  <c r="K69" i="27"/>
  <c r="L68" i="27"/>
  <c r="L69" i="27"/>
  <c r="M68" i="27"/>
  <c r="M69" i="27"/>
  <c r="N68" i="27"/>
  <c r="N69" i="27"/>
  <c r="O68" i="27"/>
  <c r="O69" i="27"/>
  <c r="P68" i="27"/>
  <c r="P69" i="27"/>
  <c r="Q68" i="27"/>
  <c r="Q69" i="27"/>
  <c r="R68" i="27"/>
  <c r="R69" i="27"/>
  <c r="S68" i="27"/>
  <c r="S69" i="27"/>
  <c r="T68" i="27"/>
  <c r="T69" i="27"/>
  <c r="U68" i="27"/>
  <c r="U69" i="27"/>
  <c r="W68" i="27"/>
  <c r="W69" i="27"/>
  <c r="Y68" i="27"/>
  <c r="Y69" i="27"/>
  <c r="I65" i="27"/>
  <c r="J65" i="27"/>
  <c r="K65" i="27"/>
  <c r="L65" i="27"/>
  <c r="M65" i="27"/>
  <c r="N65" i="27"/>
  <c r="O65" i="27"/>
  <c r="P65" i="27"/>
  <c r="Q65" i="27"/>
  <c r="R65" i="27"/>
  <c r="S65" i="27"/>
  <c r="T65" i="27"/>
  <c r="U65" i="27"/>
  <c r="W65" i="27"/>
  <c r="Y65" i="27"/>
  <c r="I66" i="27"/>
  <c r="J66" i="27"/>
  <c r="K66" i="27"/>
  <c r="L66" i="27"/>
  <c r="M66" i="27"/>
  <c r="N66" i="27"/>
  <c r="O66" i="27"/>
  <c r="P66" i="27"/>
  <c r="Q66" i="27"/>
  <c r="R66" i="27"/>
  <c r="S66" i="27"/>
  <c r="T66" i="27"/>
  <c r="U66" i="27"/>
  <c r="W66" i="27"/>
  <c r="Y66" i="27"/>
  <c r="X68" i="27"/>
  <c r="X71" i="27"/>
  <c r="X66" i="27"/>
  <c r="X70" i="27"/>
  <c r="X65" i="27"/>
  <c r="X69" i="27"/>
  <c r="X67" i="27"/>
  <c r="H12" i="30" l="1"/>
  <c r="H13" i="30"/>
  <c r="H14" i="30"/>
  <c r="I12" i="30"/>
  <c r="I13" i="30"/>
  <c r="I14" i="30"/>
  <c r="J12" i="30"/>
  <c r="J13" i="30"/>
  <c r="J14" i="30"/>
  <c r="K12" i="30"/>
  <c r="K13" i="30"/>
  <c r="K14" i="30"/>
  <c r="L12" i="30"/>
  <c r="L13" i="30"/>
  <c r="L14" i="30"/>
  <c r="M12" i="30"/>
  <c r="M13" i="30"/>
  <c r="M14" i="30"/>
  <c r="N12" i="30"/>
  <c r="N13" i="30"/>
  <c r="N14" i="30"/>
  <c r="O12" i="30"/>
  <c r="O13" i="30"/>
  <c r="O14" i="30"/>
  <c r="P12" i="30"/>
  <c r="P13" i="30"/>
  <c r="P14" i="30"/>
  <c r="Q12" i="30"/>
  <c r="Q13" i="30"/>
  <c r="Q14" i="30"/>
  <c r="R12" i="30"/>
  <c r="R13" i="30"/>
  <c r="R14" i="30"/>
  <c r="S12" i="30"/>
  <c r="S13" i="30"/>
  <c r="S14" i="30"/>
  <c r="T12" i="30"/>
  <c r="T13" i="30"/>
  <c r="T14" i="30"/>
  <c r="U12" i="30"/>
  <c r="U13" i="30"/>
  <c r="U14" i="30"/>
  <c r="V12" i="30"/>
  <c r="V13" i="30"/>
  <c r="V14" i="30"/>
  <c r="I97" i="27"/>
  <c r="I98" i="27"/>
  <c r="I100" i="27"/>
  <c r="I101" i="27"/>
  <c r="I102" i="27"/>
  <c r="I108" i="27"/>
  <c r="I109" i="27"/>
  <c r="I111" i="27"/>
  <c r="J97" i="27"/>
  <c r="J98" i="27"/>
  <c r="J100" i="27"/>
  <c r="J101" i="27"/>
  <c r="J102" i="27"/>
  <c r="J108" i="27"/>
  <c r="J109" i="27"/>
  <c r="J111" i="27"/>
  <c r="K97" i="27"/>
  <c r="K98" i="27"/>
  <c r="K100" i="27"/>
  <c r="K101" i="27"/>
  <c r="K102" i="27"/>
  <c r="K108" i="27"/>
  <c r="K109" i="27"/>
  <c r="K111" i="27"/>
  <c r="L97" i="27"/>
  <c r="L98" i="27"/>
  <c r="L100" i="27"/>
  <c r="L101" i="27"/>
  <c r="L102" i="27"/>
  <c r="L108" i="27"/>
  <c r="L109" i="27"/>
  <c r="L111" i="27"/>
  <c r="M97" i="27"/>
  <c r="M98" i="27"/>
  <c r="M100" i="27"/>
  <c r="M101" i="27"/>
  <c r="M102" i="27"/>
  <c r="M108" i="27"/>
  <c r="M109" i="27"/>
  <c r="M111" i="27"/>
  <c r="N97" i="27"/>
  <c r="N98" i="27"/>
  <c r="N100" i="27"/>
  <c r="N101" i="27"/>
  <c r="N102" i="27"/>
  <c r="N108" i="27"/>
  <c r="N109" i="27"/>
  <c r="N111" i="27"/>
  <c r="O97" i="27"/>
  <c r="O98" i="27"/>
  <c r="O100" i="27"/>
  <c r="O101" i="27"/>
  <c r="O102" i="27"/>
  <c r="O108" i="27"/>
  <c r="O109" i="27"/>
  <c r="O111" i="27"/>
  <c r="P97" i="27"/>
  <c r="P98" i="27"/>
  <c r="P100" i="27"/>
  <c r="P101" i="27"/>
  <c r="P102" i="27"/>
  <c r="P108" i="27"/>
  <c r="P109" i="27"/>
  <c r="P111" i="27"/>
  <c r="Q97" i="27"/>
  <c r="Q98" i="27"/>
  <c r="Q100" i="27"/>
  <c r="Q101" i="27"/>
  <c r="Q102" i="27"/>
  <c r="Q108" i="27"/>
  <c r="Q109" i="27"/>
  <c r="Q111" i="27"/>
  <c r="R97" i="27"/>
  <c r="R98" i="27"/>
  <c r="R100" i="27"/>
  <c r="R101" i="27"/>
  <c r="R102" i="27"/>
  <c r="R108" i="27"/>
  <c r="R109" i="27"/>
  <c r="R111" i="27"/>
  <c r="S97" i="27"/>
  <c r="S98" i="27"/>
  <c r="S100" i="27"/>
  <c r="S101" i="27"/>
  <c r="S102" i="27"/>
  <c r="S108" i="27"/>
  <c r="S109" i="27"/>
  <c r="S111" i="27"/>
  <c r="T97" i="27"/>
  <c r="T98" i="27"/>
  <c r="T100" i="27"/>
  <c r="T101" i="27"/>
  <c r="T102" i="27"/>
  <c r="T108" i="27"/>
  <c r="T109" i="27"/>
  <c r="T111" i="27"/>
  <c r="U97" i="27"/>
  <c r="U98" i="27"/>
  <c r="U100" i="27"/>
  <c r="U101" i="27"/>
  <c r="U102" i="27"/>
  <c r="U108" i="27"/>
  <c r="U109" i="27"/>
  <c r="U111" i="27"/>
  <c r="W97" i="27"/>
  <c r="W98" i="27"/>
  <c r="W100" i="27"/>
  <c r="W101" i="27"/>
  <c r="W102" i="27"/>
  <c r="W108" i="27"/>
  <c r="W109" i="27"/>
  <c r="W111" i="27"/>
  <c r="Y97" i="27"/>
  <c r="Y98" i="27"/>
  <c r="Y100" i="27"/>
  <c r="Y101" i="27"/>
  <c r="Y102" i="27"/>
  <c r="Y108" i="27"/>
  <c r="Y109" i="27"/>
  <c r="Y111" i="27"/>
  <c r="I92" i="27"/>
  <c r="J92" i="27"/>
  <c r="K92" i="27"/>
  <c r="L92" i="27"/>
  <c r="M92" i="27"/>
  <c r="N92" i="27"/>
  <c r="O92" i="27"/>
  <c r="P92" i="27"/>
  <c r="Q92" i="27"/>
  <c r="R92" i="27"/>
  <c r="S92" i="27"/>
  <c r="T92" i="27"/>
  <c r="U92" i="27"/>
  <c r="W92" i="27"/>
  <c r="Y92" i="27"/>
  <c r="I140" i="27"/>
  <c r="J140" i="27"/>
  <c r="K140" i="27"/>
  <c r="L140" i="27"/>
  <c r="M140" i="27"/>
  <c r="N140" i="27"/>
  <c r="O140" i="27"/>
  <c r="P140" i="27"/>
  <c r="Q140" i="27"/>
  <c r="R140" i="27"/>
  <c r="S140" i="27"/>
  <c r="T140" i="27"/>
  <c r="U140" i="27"/>
  <c r="W140" i="27"/>
  <c r="Y140" i="27"/>
  <c r="I72" i="27"/>
  <c r="I73" i="27"/>
  <c r="J72" i="27"/>
  <c r="J73" i="27"/>
  <c r="K72" i="27"/>
  <c r="K73" i="27"/>
  <c r="L72" i="27"/>
  <c r="L73" i="27"/>
  <c r="M72" i="27"/>
  <c r="M73" i="27"/>
  <c r="N72" i="27"/>
  <c r="N73" i="27"/>
  <c r="O72" i="27"/>
  <c r="O73" i="27"/>
  <c r="P72" i="27"/>
  <c r="P73" i="27"/>
  <c r="Q72" i="27"/>
  <c r="Q73" i="27"/>
  <c r="R72" i="27"/>
  <c r="R73" i="27"/>
  <c r="S72" i="27"/>
  <c r="S73" i="27"/>
  <c r="T72" i="27"/>
  <c r="T73" i="27"/>
  <c r="U72" i="27"/>
  <c r="U73" i="27"/>
  <c r="W72" i="27"/>
  <c r="W73" i="27"/>
  <c r="Y72" i="27"/>
  <c r="Y73" i="27"/>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35" i="27"/>
  <c r="J35" i="27"/>
  <c r="K35" i="27"/>
  <c r="L35" i="27"/>
  <c r="M35" i="27"/>
  <c r="N35" i="27"/>
  <c r="O35" i="27"/>
  <c r="P35" i="27"/>
  <c r="Q35" i="27"/>
  <c r="R35" i="27"/>
  <c r="S35" i="27"/>
  <c r="T35" i="27"/>
  <c r="U35" i="27"/>
  <c r="W35" i="27"/>
  <c r="Y35" i="27"/>
  <c r="I26" i="27"/>
  <c r="I27" i="27"/>
  <c r="I28" i="27"/>
  <c r="I33" i="27"/>
  <c r="I34" i="27"/>
  <c r="J26" i="27"/>
  <c r="J27" i="27"/>
  <c r="J28" i="27"/>
  <c r="J33" i="27"/>
  <c r="J34" i="27"/>
  <c r="K26" i="27"/>
  <c r="K27" i="27"/>
  <c r="K28" i="27"/>
  <c r="K33" i="27"/>
  <c r="K34" i="27"/>
  <c r="L26" i="27"/>
  <c r="L27" i="27"/>
  <c r="L28" i="27"/>
  <c r="L33" i="27"/>
  <c r="L34" i="27"/>
  <c r="M26" i="27"/>
  <c r="M27" i="27"/>
  <c r="M28" i="27"/>
  <c r="M33" i="27"/>
  <c r="M34" i="27"/>
  <c r="N26" i="27"/>
  <c r="N27" i="27"/>
  <c r="N28" i="27"/>
  <c r="N33" i="27"/>
  <c r="N34" i="27"/>
  <c r="O26" i="27"/>
  <c r="O27" i="27"/>
  <c r="O28" i="27"/>
  <c r="O33" i="27"/>
  <c r="O34" i="27"/>
  <c r="P26" i="27"/>
  <c r="P27" i="27"/>
  <c r="P28" i="27"/>
  <c r="P33" i="27"/>
  <c r="P34" i="27"/>
  <c r="Q26" i="27"/>
  <c r="Q27" i="27"/>
  <c r="Q28" i="27"/>
  <c r="Q33" i="27"/>
  <c r="Q34" i="27"/>
  <c r="R26" i="27"/>
  <c r="R27" i="27"/>
  <c r="R28" i="27"/>
  <c r="R33" i="27"/>
  <c r="R34" i="27"/>
  <c r="S26" i="27"/>
  <c r="S27" i="27"/>
  <c r="S28" i="27"/>
  <c r="S33" i="27"/>
  <c r="S34" i="27"/>
  <c r="T26" i="27"/>
  <c r="T27" i="27"/>
  <c r="T28" i="27"/>
  <c r="T33" i="27"/>
  <c r="T34" i="27"/>
  <c r="U26" i="27"/>
  <c r="U27" i="27"/>
  <c r="U28" i="27"/>
  <c r="U33" i="27"/>
  <c r="U34" i="27"/>
  <c r="W26" i="27"/>
  <c r="W27" i="27"/>
  <c r="W28" i="27"/>
  <c r="W33" i="27"/>
  <c r="W34" i="27"/>
  <c r="Y26" i="27"/>
  <c r="Y27" i="27"/>
  <c r="Y28" i="27"/>
  <c r="Y33" i="27"/>
  <c r="Y34" i="27"/>
  <c r="I85" i="27"/>
  <c r="J85" i="27"/>
  <c r="K85" i="27"/>
  <c r="L85" i="27"/>
  <c r="M85" i="27"/>
  <c r="N85" i="27"/>
  <c r="O85" i="27"/>
  <c r="P85" i="27"/>
  <c r="Q85" i="27"/>
  <c r="R85" i="27"/>
  <c r="S85" i="27"/>
  <c r="T85" i="27"/>
  <c r="U85" i="27"/>
  <c r="W85" i="27"/>
  <c r="Y85" i="27"/>
  <c r="X97" i="27"/>
  <c r="X101" i="27"/>
  <c r="X26" i="27"/>
  <c r="X33" i="27"/>
  <c r="X28" i="27"/>
  <c r="X111" i="27"/>
  <c r="X98" i="27"/>
  <c r="X109" i="27"/>
  <c r="X85" i="27"/>
  <c r="X35" i="27"/>
  <c r="X140" i="27"/>
  <c r="X92" i="27"/>
  <c r="X102" i="27"/>
  <c r="X108" i="27"/>
  <c r="X72" i="27"/>
  <c r="X100" i="27"/>
  <c r="X73" i="27"/>
  <c r="X34" i="27"/>
  <c r="X27" i="27"/>
  <c r="S23" i="30" l="1"/>
  <c r="H23" i="30"/>
  <c r="I23" i="30"/>
  <c r="J23" i="30"/>
  <c r="K23" i="30"/>
  <c r="L23" i="30"/>
  <c r="M23" i="30"/>
  <c r="N23" i="30"/>
  <c r="O23" i="30"/>
  <c r="P23" i="30"/>
  <c r="Q23" i="30"/>
  <c r="R23" i="30"/>
  <c r="T23" i="30"/>
  <c r="U23" i="30"/>
  <c r="V23" i="30"/>
  <c r="S22" i="30" l="1"/>
  <c r="H22" i="30"/>
  <c r="I22" i="30"/>
  <c r="J22" i="30"/>
  <c r="K22" i="30"/>
  <c r="L22" i="30"/>
  <c r="M22" i="30"/>
  <c r="N22" i="30"/>
  <c r="O22" i="30"/>
  <c r="P22" i="30"/>
  <c r="Q22" i="30"/>
  <c r="R22" i="30"/>
  <c r="T22" i="30"/>
  <c r="U22" i="30"/>
  <c r="V22" i="30"/>
  <c r="Y2" i="27" l="1"/>
  <c r="Y3" i="27"/>
  <c r="Y4" i="27"/>
  <c r="Y5" i="27"/>
  <c r="Y6" i="27"/>
  <c r="Y11" i="27"/>
  <c r="Y7" i="27"/>
  <c r="Y8" i="27"/>
  <c r="Y9" i="27"/>
  <c r="Y12" i="27"/>
  <c r="Y13" i="27"/>
  <c r="Y15" i="27"/>
  <c r="Y16" i="27"/>
  <c r="Y18" i="27"/>
  <c r="Y23" i="27"/>
  <c r="Y19" i="27"/>
  <c r="Y20" i="27"/>
  <c r="Y21" i="27"/>
  <c r="Y86" i="27"/>
  <c r="Y87" i="27"/>
  <c r="Y89" i="27"/>
  <c r="Y90" i="27"/>
  <c r="Y91" i="27"/>
  <c r="Y93" i="27"/>
  <c r="Y94" i="27"/>
  <c r="Y95" i="27"/>
  <c r="Y96" i="27"/>
  <c r="Y112" i="27"/>
  <c r="Y113" i="27"/>
  <c r="Y114" i="27"/>
  <c r="Y115" i="27"/>
  <c r="Y116" i="27"/>
  <c r="Y117" i="27"/>
  <c r="Y118" i="27"/>
  <c r="Y119" i="27"/>
  <c r="Y120" i="27"/>
  <c r="Y121" i="27"/>
  <c r="Y122" i="27"/>
  <c r="Y123" i="27"/>
  <c r="Y124" i="27"/>
  <c r="Y125" i="27"/>
  <c r="Y126" i="27"/>
  <c r="Y127" i="27"/>
  <c r="Y128" i="27"/>
  <c r="Y129" i="27"/>
  <c r="Y130" i="27"/>
  <c r="Y138" i="27"/>
  <c r="Y139" i="27"/>
  <c r="Y141" i="27"/>
  <c r="Y142" i="27"/>
  <c r="Y143" i="27"/>
  <c r="Y144" i="27"/>
  <c r="Y145" i="27"/>
  <c r="Y146" i="27"/>
  <c r="Y147" i="27"/>
  <c r="Y148" i="27"/>
  <c r="Y149" i="27"/>
  <c r="Y150" i="27"/>
  <c r="Y161" i="27"/>
  <c r="Y162" i="27"/>
  <c r="Y163" i="27"/>
  <c r="Y164" i="27"/>
  <c r="Y156" i="27"/>
  <c r="Y157" i="27"/>
  <c r="Y158" i="27"/>
  <c r="Y159" i="27"/>
  <c r="Y160" i="27"/>
  <c r="Y165" i="27"/>
  <c r="Y166" i="27"/>
  <c r="Y167" i="27"/>
  <c r="Y168" i="27"/>
  <c r="Y169" i="27"/>
  <c r="Y170" i="27"/>
  <c r="Y171" i="27"/>
  <c r="Y172" i="27"/>
  <c r="Y173" i="27"/>
  <c r="Y174" i="27"/>
  <c r="Y175" i="27"/>
  <c r="Y176" i="27"/>
  <c r="Y177" i="27"/>
  <c r="Y178" i="27"/>
  <c r="Y179" i="27"/>
  <c r="Y180" i="27"/>
  <c r="W2" i="27"/>
  <c r="W3" i="27"/>
  <c r="W4" i="27"/>
  <c r="W5" i="27"/>
  <c r="W6" i="27"/>
  <c r="W11" i="27"/>
  <c r="W7" i="27"/>
  <c r="W8" i="27"/>
  <c r="W9" i="27"/>
  <c r="W12" i="27"/>
  <c r="W13" i="27"/>
  <c r="W15" i="27"/>
  <c r="W16" i="27"/>
  <c r="W18" i="27"/>
  <c r="W23" i="27"/>
  <c r="W19" i="27"/>
  <c r="W20" i="27"/>
  <c r="W21" i="27"/>
  <c r="W86" i="27"/>
  <c r="W87" i="27"/>
  <c r="W89" i="27"/>
  <c r="W90" i="27"/>
  <c r="W91" i="27"/>
  <c r="W93" i="27"/>
  <c r="W94" i="27"/>
  <c r="W95" i="27"/>
  <c r="W96" i="27"/>
  <c r="W112" i="27"/>
  <c r="W113" i="27"/>
  <c r="W114" i="27"/>
  <c r="W115" i="27"/>
  <c r="W116" i="27"/>
  <c r="W117" i="27"/>
  <c r="W118" i="27"/>
  <c r="W119" i="27"/>
  <c r="W120" i="27"/>
  <c r="W121" i="27"/>
  <c r="W122" i="27"/>
  <c r="W123" i="27"/>
  <c r="W124" i="27"/>
  <c r="W125" i="27"/>
  <c r="W126" i="27"/>
  <c r="W127" i="27"/>
  <c r="W128" i="27"/>
  <c r="W129" i="27"/>
  <c r="W130" i="27"/>
  <c r="W138" i="27"/>
  <c r="W139" i="27"/>
  <c r="W141" i="27"/>
  <c r="W142" i="27"/>
  <c r="W143" i="27"/>
  <c r="W144" i="27"/>
  <c r="W145" i="27"/>
  <c r="W146" i="27"/>
  <c r="W147" i="27"/>
  <c r="W148" i="27"/>
  <c r="W149" i="27"/>
  <c r="W150" i="27"/>
  <c r="W161" i="27"/>
  <c r="W162" i="27"/>
  <c r="W163" i="27"/>
  <c r="W164" i="27"/>
  <c r="W156" i="27"/>
  <c r="W157" i="27"/>
  <c r="W158" i="27"/>
  <c r="W159" i="27"/>
  <c r="W160" i="27"/>
  <c r="W165" i="27"/>
  <c r="W166" i="27"/>
  <c r="W167" i="27"/>
  <c r="W168" i="27"/>
  <c r="W169" i="27"/>
  <c r="W170" i="27"/>
  <c r="W171" i="27"/>
  <c r="W172" i="27"/>
  <c r="W173" i="27"/>
  <c r="W174" i="27"/>
  <c r="W175" i="27"/>
  <c r="W176" i="27"/>
  <c r="W177" i="27"/>
  <c r="W178" i="27"/>
  <c r="W179" i="27"/>
  <c r="W180" i="27"/>
  <c r="V2" i="27"/>
  <c r="V3" i="27"/>
  <c r="V4" i="27"/>
  <c r="V5" i="27"/>
  <c r="V6" i="27"/>
  <c r="V11" i="27"/>
  <c r="V7" i="27"/>
  <c r="V8" i="27"/>
  <c r="V9" i="27"/>
  <c r="V12" i="27"/>
  <c r="V13" i="27"/>
  <c r="U2" i="27"/>
  <c r="U3" i="27"/>
  <c r="U4" i="27"/>
  <c r="U5" i="27"/>
  <c r="U6" i="27"/>
  <c r="U11" i="27"/>
  <c r="U7" i="27"/>
  <c r="U8" i="27"/>
  <c r="U9" i="27"/>
  <c r="U12" i="27"/>
  <c r="U13" i="27"/>
  <c r="U15" i="27"/>
  <c r="U16" i="27"/>
  <c r="U18" i="27"/>
  <c r="U23" i="27"/>
  <c r="U19" i="27"/>
  <c r="U20" i="27"/>
  <c r="U21" i="27"/>
  <c r="U86" i="27"/>
  <c r="U87" i="27"/>
  <c r="U89" i="27"/>
  <c r="U90" i="27"/>
  <c r="U91" i="27"/>
  <c r="U93" i="27"/>
  <c r="U94" i="27"/>
  <c r="U95" i="27"/>
  <c r="U96" i="27"/>
  <c r="U112" i="27"/>
  <c r="U113" i="27"/>
  <c r="U114" i="27"/>
  <c r="U115" i="27"/>
  <c r="U116" i="27"/>
  <c r="U117" i="27"/>
  <c r="U118" i="27"/>
  <c r="U119" i="27"/>
  <c r="U120" i="27"/>
  <c r="U121" i="27"/>
  <c r="U122" i="27"/>
  <c r="U123" i="27"/>
  <c r="U124" i="27"/>
  <c r="U125" i="27"/>
  <c r="U126" i="27"/>
  <c r="U127" i="27"/>
  <c r="U128" i="27"/>
  <c r="U129" i="27"/>
  <c r="U130" i="27"/>
  <c r="U138" i="27"/>
  <c r="U139" i="27"/>
  <c r="U141" i="27"/>
  <c r="U142" i="27"/>
  <c r="U143" i="27"/>
  <c r="U144" i="27"/>
  <c r="U145" i="27"/>
  <c r="U146" i="27"/>
  <c r="U147" i="27"/>
  <c r="U148" i="27"/>
  <c r="U149" i="27"/>
  <c r="U150" i="27"/>
  <c r="U161" i="27"/>
  <c r="U162" i="27"/>
  <c r="U163" i="27"/>
  <c r="U164" i="27"/>
  <c r="U156" i="27"/>
  <c r="U157" i="27"/>
  <c r="U158" i="27"/>
  <c r="U159" i="27"/>
  <c r="U160" i="27"/>
  <c r="U165" i="27"/>
  <c r="U166" i="27"/>
  <c r="U167" i="27"/>
  <c r="U168" i="27"/>
  <c r="U169" i="27"/>
  <c r="U170" i="27"/>
  <c r="U171" i="27"/>
  <c r="U172" i="27"/>
  <c r="U173" i="27"/>
  <c r="U174" i="27"/>
  <c r="U175" i="27"/>
  <c r="U176" i="27"/>
  <c r="U177" i="27"/>
  <c r="U178" i="27"/>
  <c r="U179" i="27"/>
  <c r="U180" i="27"/>
  <c r="T2" i="27"/>
  <c r="T3" i="27"/>
  <c r="T4" i="27"/>
  <c r="T5" i="27"/>
  <c r="T6" i="27"/>
  <c r="T11" i="27"/>
  <c r="T7" i="27"/>
  <c r="T8" i="27"/>
  <c r="T9" i="27"/>
  <c r="T12" i="27"/>
  <c r="T13" i="27"/>
  <c r="T15" i="27"/>
  <c r="T16" i="27"/>
  <c r="T18" i="27"/>
  <c r="T23" i="27"/>
  <c r="T19" i="27"/>
  <c r="T20" i="27"/>
  <c r="T21" i="27"/>
  <c r="T86" i="27"/>
  <c r="T87" i="27"/>
  <c r="T89" i="27"/>
  <c r="T90" i="27"/>
  <c r="T91" i="27"/>
  <c r="T93" i="27"/>
  <c r="T94" i="27"/>
  <c r="T95" i="27"/>
  <c r="T96" i="27"/>
  <c r="T112" i="27"/>
  <c r="T113" i="27"/>
  <c r="T114" i="27"/>
  <c r="T115" i="27"/>
  <c r="T116" i="27"/>
  <c r="T117" i="27"/>
  <c r="T118" i="27"/>
  <c r="T119" i="27"/>
  <c r="T120" i="27"/>
  <c r="T121" i="27"/>
  <c r="T122" i="27"/>
  <c r="T123" i="27"/>
  <c r="T124" i="27"/>
  <c r="T125" i="27"/>
  <c r="T126" i="27"/>
  <c r="T127" i="27"/>
  <c r="T128" i="27"/>
  <c r="T129" i="27"/>
  <c r="T130" i="27"/>
  <c r="T138" i="27"/>
  <c r="T139" i="27"/>
  <c r="T141" i="27"/>
  <c r="T142" i="27"/>
  <c r="T143" i="27"/>
  <c r="T144" i="27"/>
  <c r="T145" i="27"/>
  <c r="T146" i="27"/>
  <c r="T147" i="27"/>
  <c r="T148" i="27"/>
  <c r="T149" i="27"/>
  <c r="T150" i="27"/>
  <c r="T161" i="27"/>
  <c r="T162" i="27"/>
  <c r="T163" i="27"/>
  <c r="T164" i="27"/>
  <c r="T156" i="27"/>
  <c r="T157" i="27"/>
  <c r="T158" i="27"/>
  <c r="T159" i="27"/>
  <c r="T160" i="27"/>
  <c r="T165" i="27"/>
  <c r="T166" i="27"/>
  <c r="T167" i="27"/>
  <c r="T168" i="27"/>
  <c r="T169" i="27"/>
  <c r="T170" i="27"/>
  <c r="T171" i="27"/>
  <c r="T172" i="27"/>
  <c r="T173" i="27"/>
  <c r="T174" i="27"/>
  <c r="T175" i="27"/>
  <c r="T176" i="27"/>
  <c r="T177" i="27"/>
  <c r="T178" i="27"/>
  <c r="T179" i="27"/>
  <c r="T180" i="27"/>
  <c r="S2" i="27"/>
  <c r="S3" i="27"/>
  <c r="S4" i="27"/>
  <c r="S5" i="27"/>
  <c r="S6" i="27"/>
  <c r="S11" i="27"/>
  <c r="S7" i="27"/>
  <c r="S8" i="27"/>
  <c r="S9" i="27"/>
  <c r="S12" i="27"/>
  <c r="S13" i="27"/>
  <c r="S15" i="27"/>
  <c r="S16" i="27"/>
  <c r="S18" i="27"/>
  <c r="S23" i="27"/>
  <c r="S19" i="27"/>
  <c r="S20" i="27"/>
  <c r="S21" i="27"/>
  <c r="S86" i="27"/>
  <c r="S87" i="27"/>
  <c r="S89" i="27"/>
  <c r="S90" i="27"/>
  <c r="S91" i="27"/>
  <c r="S93" i="27"/>
  <c r="S94" i="27"/>
  <c r="S95" i="27"/>
  <c r="S96" i="27"/>
  <c r="S112" i="27"/>
  <c r="S113" i="27"/>
  <c r="S114" i="27"/>
  <c r="S115" i="27"/>
  <c r="S116" i="27"/>
  <c r="S117" i="27"/>
  <c r="S118" i="27"/>
  <c r="S119" i="27"/>
  <c r="S120" i="27"/>
  <c r="S121" i="27"/>
  <c r="S122" i="27"/>
  <c r="S123" i="27"/>
  <c r="S124" i="27"/>
  <c r="S125" i="27"/>
  <c r="S126" i="27"/>
  <c r="S127" i="27"/>
  <c r="S128" i="27"/>
  <c r="S129" i="27"/>
  <c r="S130" i="27"/>
  <c r="S138" i="27"/>
  <c r="S139" i="27"/>
  <c r="S141" i="27"/>
  <c r="S142" i="27"/>
  <c r="S143" i="27"/>
  <c r="S144" i="27"/>
  <c r="S145" i="27"/>
  <c r="S146" i="27"/>
  <c r="S147" i="27"/>
  <c r="S148" i="27"/>
  <c r="S149" i="27"/>
  <c r="S150" i="27"/>
  <c r="S161" i="27"/>
  <c r="S162" i="27"/>
  <c r="S163" i="27"/>
  <c r="S164" i="27"/>
  <c r="S156" i="27"/>
  <c r="S157" i="27"/>
  <c r="S158" i="27"/>
  <c r="S159" i="27"/>
  <c r="S160" i="27"/>
  <c r="S165" i="27"/>
  <c r="S166" i="27"/>
  <c r="S167" i="27"/>
  <c r="S168" i="27"/>
  <c r="S169" i="27"/>
  <c r="S170" i="27"/>
  <c r="S171" i="27"/>
  <c r="S172" i="27"/>
  <c r="S173" i="27"/>
  <c r="S174" i="27"/>
  <c r="S175" i="27"/>
  <c r="S176" i="27"/>
  <c r="S177" i="27"/>
  <c r="S178" i="27"/>
  <c r="S179" i="27"/>
  <c r="S180" i="27"/>
  <c r="R2" i="27"/>
  <c r="R3" i="27"/>
  <c r="R4" i="27"/>
  <c r="R5" i="27"/>
  <c r="R6" i="27"/>
  <c r="R11" i="27"/>
  <c r="R7" i="27"/>
  <c r="R8" i="27"/>
  <c r="R9" i="27"/>
  <c r="R12" i="27"/>
  <c r="R13" i="27"/>
  <c r="R15" i="27"/>
  <c r="R16" i="27"/>
  <c r="R18" i="27"/>
  <c r="R23" i="27"/>
  <c r="R19" i="27"/>
  <c r="R20" i="27"/>
  <c r="R21" i="27"/>
  <c r="R86" i="27"/>
  <c r="R87" i="27"/>
  <c r="R89" i="27"/>
  <c r="R90" i="27"/>
  <c r="R91" i="27"/>
  <c r="R93" i="27"/>
  <c r="R94" i="27"/>
  <c r="R95" i="27"/>
  <c r="R96" i="27"/>
  <c r="R112" i="27"/>
  <c r="R113" i="27"/>
  <c r="R114" i="27"/>
  <c r="R115" i="27"/>
  <c r="R116" i="27"/>
  <c r="R117" i="27"/>
  <c r="R118" i="27"/>
  <c r="R119" i="27"/>
  <c r="R120" i="27"/>
  <c r="R121" i="27"/>
  <c r="R122" i="27"/>
  <c r="R123" i="27"/>
  <c r="R124" i="27"/>
  <c r="R125" i="27"/>
  <c r="R126" i="27"/>
  <c r="R127" i="27"/>
  <c r="R128" i="27"/>
  <c r="R129" i="27"/>
  <c r="R130" i="27"/>
  <c r="R138" i="27"/>
  <c r="R139" i="27"/>
  <c r="R141" i="27"/>
  <c r="R142" i="27"/>
  <c r="R143" i="27"/>
  <c r="R144" i="27"/>
  <c r="R145" i="27"/>
  <c r="R146" i="27"/>
  <c r="R147" i="27"/>
  <c r="R148" i="27"/>
  <c r="R149" i="27"/>
  <c r="R150" i="27"/>
  <c r="R161" i="27"/>
  <c r="R162" i="27"/>
  <c r="R163" i="27"/>
  <c r="R164" i="27"/>
  <c r="R156" i="27"/>
  <c r="R157" i="27"/>
  <c r="R158" i="27"/>
  <c r="R159" i="27"/>
  <c r="R160" i="27"/>
  <c r="R165" i="27"/>
  <c r="R166" i="27"/>
  <c r="R167" i="27"/>
  <c r="R168" i="27"/>
  <c r="R169" i="27"/>
  <c r="R170" i="27"/>
  <c r="R171" i="27"/>
  <c r="R172" i="27"/>
  <c r="R173" i="27"/>
  <c r="R174" i="27"/>
  <c r="R175" i="27"/>
  <c r="R176" i="27"/>
  <c r="R177" i="27"/>
  <c r="R178" i="27"/>
  <c r="R179" i="27"/>
  <c r="R180" i="27"/>
  <c r="Q2" i="27"/>
  <c r="Q3" i="27"/>
  <c r="Q4" i="27"/>
  <c r="Q5" i="27"/>
  <c r="Q6" i="27"/>
  <c r="Q11" i="27"/>
  <c r="Q7" i="27"/>
  <c r="Q8" i="27"/>
  <c r="Q9" i="27"/>
  <c r="Q12" i="27"/>
  <c r="Q13" i="27"/>
  <c r="Q15" i="27"/>
  <c r="Q16" i="27"/>
  <c r="Q18" i="27"/>
  <c r="Q23" i="27"/>
  <c r="Q19" i="27"/>
  <c r="Q20" i="27"/>
  <c r="Q21" i="27"/>
  <c r="Q86" i="27"/>
  <c r="Q87" i="27"/>
  <c r="Q89" i="27"/>
  <c r="Q90" i="27"/>
  <c r="Q91" i="27"/>
  <c r="Q93" i="27"/>
  <c r="Q94" i="27"/>
  <c r="Q95" i="27"/>
  <c r="Q96" i="27"/>
  <c r="Q112" i="27"/>
  <c r="Q113" i="27"/>
  <c r="Q114" i="27"/>
  <c r="Q115" i="27"/>
  <c r="Q116" i="27"/>
  <c r="Q117" i="27"/>
  <c r="Q118" i="27"/>
  <c r="Q119" i="27"/>
  <c r="Q120" i="27"/>
  <c r="Q121" i="27"/>
  <c r="Q122" i="27"/>
  <c r="Q123" i="27"/>
  <c r="Q124" i="27"/>
  <c r="Q125" i="27"/>
  <c r="Q126" i="27"/>
  <c r="Q127" i="27"/>
  <c r="Q128" i="27"/>
  <c r="Q129" i="27"/>
  <c r="Q130" i="27"/>
  <c r="Q138" i="27"/>
  <c r="Q139" i="27"/>
  <c r="Q141" i="27"/>
  <c r="Q142" i="27"/>
  <c r="Q143" i="27"/>
  <c r="Q144" i="27"/>
  <c r="Q145" i="27"/>
  <c r="Q146" i="27"/>
  <c r="Q147" i="27"/>
  <c r="Q148" i="27"/>
  <c r="Q149" i="27"/>
  <c r="Q150" i="27"/>
  <c r="Q161" i="27"/>
  <c r="Q162" i="27"/>
  <c r="Q163" i="27"/>
  <c r="Q164" i="27"/>
  <c r="Q156" i="27"/>
  <c r="Q157" i="27"/>
  <c r="Q158" i="27"/>
  <c r="Q159" i="27"/>
  <c r="Q160" i="27"/>
  <c r="Q165" i="27"/>
  <c r="Q166" i="27"/>
  <c r="Q167" i="27"/>
  <c r="Q168" i="27"/>
  <c r="Q169" i="27"/>
  <c r="Q170" i="27"/>
  <c r="Q171" i="27"/>
  <c r="Q172" i="27"/>
  <c r="Q173" i="27"/>
  <c r="Q174" i="27"/>
  <c r="Q175" i="27"/>
  <c r="Q176" i="27"/>
  <c r="Q177" i="27"/>
  <c r="Q178" i="27"/>
  <c r="Q179" i="27"/>
  <c r="Q180" i="27"/>
  <c r="P2" i="27"/>
  <c r="P3" i="27"/>
  <c r="P4" i="27"/>
  <c r="P5" i="27"/>
  <c r="P6" i="27"/>
  <c r="P11" i="27"/>
  <c r="P7" i="27"/>
  <c r="P8" i="27"/>
  <c r="P9" i="27"/>
  <c r="P12" i="27"/>
  <c r="P13" i="27"/>
  <c r="P15" i="27"/>
  <c r="P16" i="27"/>
  <c r="P18" i="27"/>
  <c r="P23" i="27"/>
  <c r="P19" i="27"/>
  <c r="P20" i="27"/>
  <c r="P21" i="27"/>
  <c r="P86" i="27"/>
  <c r="P87" i="27"/>
  <c r="P89" i="27"/>
  <c r="P90" i="27"/>
  <c r="P91" i="27"/>
  <c r="P93" i="27"/>
  <c r="P94" i="27"/>
  <c r="P95" i="27"/>
  <c r="P96" i="27"/>
  <c r="P112" i="27"/>
  <c r="P113" i="27"/>
  <c r="P114" i="27"/>
  <c r="P115" i="27"/>
  <c r="P116" i="27"/>
  <c r="P117" i="27"/>
  <c r="P118" i="27"/>
  <c r="P119" i="27"/>
  <c r="P120" i="27"/>
  <c r="P121" i="27"/>
  <c r="P122" i="27"/>
  <c r="P123" i="27"/>
  <c r="P124" i="27"/>
  <c r="P125" i="27"/>
  <c r="P126" i="27"/>
  <c r="P127" i="27"/>
  <c r="P128" i="27"/>
  <c r="P129" i="27"/>
  <c r="P130" i="27"/>
  <c r="P138" i="27"/>
  <c r="P139" i="27"/>
  <c r="P141" i="27"/>
  <c r="P142" i="27"/>
  <c r="P143" i="27"/>
  <c r="P144" i="27"/>
  <c r="P145" i="27"/>
  <c r="P146" i="27"/>
  <c r="P147" i="27"/>
  <c r="P148" i="27"/>
  <c r="P149" i="27"/>
  <c r="P150" i="27"/>
  <c r="P161" i="27"/>
  <c r="P162" i="27"/>
  <c r="P163" i="27"/>
  <c r="P164" i="27"/>
  <c r="P156" i="27"/>
  <c r="P157" i="27"/>
  <c r="P158" i="27"/>
  <c r="P159" i="27"/>
  <c r="P160" i="27"/>
  <c r="P165" i="27"/>
  <c r="P166" i="27"/>
  <c r="P167" i="27"/>
  <c r="P168" i="27"/>
  <c r="P169" i="27"/>
  <c r="P170" i="27"/>
  <c r="P171" i="27"/>
  <c r="P172" i="27"/>
  <c r="P173" i="27"/>
  <c r="P174" i="27"/>
  <c r="P175" i="27"/>
  <c r="P176" i="27"/>
  <c r="P177" i="27"/>
  <c r="P178" i="27"/>
  <c r="P179" i="27"/>
  <c r="P180" i="27"/>
  <c r="O2" i="27"/>
  <c r="O3" i="27"/>
  <c r="O4" i="27"/>
  <c r="O5" i="27"/>
  <c r="O6" i="27"/>
  <c r="O11" i="27"/>
  <c r="O7" i="27"/>
  <c r="O8" i="27"/>
  <c r="O9" i="27"/>
  <c r="O12" i="27"/>
  <c r="O13" i="27"/>
  <c r="O15" i="27"/>
  <c r="O16" i="27"/>
  <c r="O18" i="27"/>
  <c r="O23" i="27"/>
  <c r="O19" i="27"/>
  <c r="O20" i="27"/>
  <c r="O21" i="27"/>
  <c r="O86" i="27"/>
  <c r="O87" i="27"/>
  <c r="O89" i="27"/>
  <c r="O90" i="27"/>
  <c r="O91" i="27"/>
  <c r="O93" i="27"/>
  <c r="O94" i="27"/>
  <c r="O95" i="27"/>
  <c r="O96" i="27"/>
  <c r="O112" i="27"/>
  <c r="O113" i="27"/>
  <c r="O114" i="27"/>
  <c r="O115" i="27"/>
  <c r="O116" i="27"/>
  <c r="O117" i="27"/>
  <c r="O118" i="27"/>
  <c r="O119" i="27"/>
  <c r="O120" i="27"/>
  <c r="O121" i="27"/>
  <c r="O122" i="27"/>
  <c r="O123" i="27"/>
  <c r="O124" i="27"/>
  <c r="O125" i="27"/>
  <c r="O126" i="27"/>
  <c r="O127" i="27"/>
  <c r="O128" i="27"/>
  <c r="O129" i="27"/>
  <c r="O130" i="27"/>
  <c r="O138" i="27"/>
  <c r="O139" i="27"/>
  <c r="O141" i="27"/>
  <c r="O142" i="27"/>
  <c r="O143" i="27"/>
  <c r="O144" i="27"/>
  <c r="O145" i="27"/>
  <c r="O146" i="27"/>
  <c r="O147" i="27"/>
  <c r="O148" i="27"/>
  <c r="O149" i="27"/>
  <c r="O150" i="27"/>
  <c r="O161" i="27"/>
  <c r="O162" i="27"/>
  <c r="O163" i="27"/>
  <c r="O164" i="27"/>
  <c r="O156" i="27"/>
  <c r="O157" i="27"/>
  <c r="O158" i="27"/>
  <c r="O159" i="27"/>
  <c r="O160" i="27"/>
  <c r="O165" i="27"/>
  <c r="O166" i="27"/>
  <c r="O167" i="27"/>
  <c r="O168" i="27"/>
  <c r="O169" i="27"/>
  <c r="O170" i="27"/>
  <c r="O171" i="27"/>
  <c r="O172" i="27"/>
  <c r="O173" i="27"/>
  <c r="O174" i="27"/>
  <c r="O175" i="27"/>
  <c r="O176" i="27"/>
  <c r="O177" i="27"/>
  <c r="O178" i="27"/>
  <c r="O179" i="27"/>
  <c r="O180" i="27"/>
  <c r="N2" i="27"/>
  <c r="N3" i="27"/>
  <c r="N4" i="27"/>
  <c r="N5" i="27"/>
  <c r="N6" i="27"/>
  <c r="N11" i="27"/>
  <c r="N7" i="27"/>
  <c r="N8" i="27"/>
  <c r="N9" i="27"/>
  <c r="N12" i="27"/>
  <c r="N13" i="27"/>
  <c r="N15" i="27"/>
  <c r="N16" i="27"/>
  <c r="N18" i="27"/>
  <c r="N23" i="27"/>
  <c r="N19" i="27"/>
  <c r="N20" i="27"/>
  <c r="N21" i="27"/>
  <c r="N86" i="27"/>
  <c r="N87" i="27"/>
  <c r="N89" i="27"/>
  <c r="N90" i="27"/>
  <c r="N91" i="27"/>
  <c r="N93" i="27"/>
  <c r="N94" i="27"/>
  <c r="N95" i="27"/>
  <c r="N96" i="27"/>
  <c r="N112" i="27"/>
  <c r="N113" i="27"/>
  <c r="N114" i="27"/>
  <c r="N115" i="27"/>
  <c r="N116" i="27"/>
  <c r="N117" i="27"/>
  <c r="N118" i="27"/>
  <c r="N119" i="27"/>
  <c r="N120" i="27"/>
  <c r="N121" i="27"/>
  <c r="N122" i="27"/>
  <c r="N123" i="27"/>
  <c r="N124" i="27"/>
  <c r="N125" i="27"/>
  <c r="N126" i="27"/>
  <c r="N127" i="27"/>
  <c r="N128" i="27"/>
  <c r="N129" i="27"/>
  <c r="N130" i="27"/>
  <c r="N138" i="27"/>
  <c r="N139" i="27"/>
  <c r="N141" i="27"/>
  <c r="N142" i="27"/>
  <c r="N143" i="27"/>
  <c r="N144" i="27"/>
  <c r="N145" i="27"/>
  <c r="N146" i="27"/>
  <c r="N147" i="27"/>
  <c r="N148" i="27"/>
  <c r="N149" i="27"/>
  <c r="N150" i="27"/>
  <c r="N161" i="27"/>
  <c r="N162" i="27"/>
  <c r="N163" i="27"/>
  <c r="N164" i="27"/>
  <c r="N156" i="27"/>
  <c r="N157" i="27"/>
  <c r="N158" i="27"/>
  <c r="N159" i="27"/>
  <c r="N160" i="27"/>
  <c r="N165" i="27"/>
  <c r="N166" i="27"/>
  <c r="N167" i="27"/>
  <c r="N168" i="27"/>
  <c r="N169" i="27"/>
  <c r="N170" i="27"/>
  <c r="N171" i="27"/>
  <c r="N172" i="27"/>
  <c r="N173" i="27"/>
  <c r="N174" i="27"/>
  <c r="N175" i="27"/>
  <c r="N176" i="27"/>
  <c r="N177" i="27"/>
  <c r="N178" i="27"/>
  <c r="N179" i="27"/>
  <c r="N180" i="27"/>
  <c r="M2" i="27"/>
  <c r="M3" i="27"/>
  <c r="M4" i="27"/>
  <c r="M5" i="27"/>
  <c r="M6" i="27"/>
  <c r="M11" i="27"/>
  <c r="M7" i="27"/>
  <c r="M8" i="27"/>
  <c r="M9" i="27"/>
  <c r="M12" i="27"/>
  <c r="M13" i="27"/>
  <c r="M15" i="27"/>
  <c r="M16" i="27"/>
  <c r="M18" i="27"/>
  <c r="M23" i="27"/>
  <c r="M19" i="27"/>
  <c r="M20" i="27"/>
  <c r="M21" i="27"/>
  <c r="M86" i="27"/>
  <c r="M87" i="27"/>
  <c r="M89" i="27"/>
  <c r="M90" i="27"/>
  <c r="M91" i="27"/>
  <c r="M93" i="27"/>
  <c r="M94" i="27"/>
  <c r="M95" i="27"/>
  <c r="M96" i="27"/>
  <c r="M112" i="27"/>
  <c r="M113" i="27"/>
  <c r="M114" i="27"/>
  <c r="M115" i="27"/>
  <c r="M116" i="27"/>
  <c r="M117" i="27"/>
  <c r="M118" i="27"/>
  <c r="M119" i="27"/>
  <c r="M120" i="27"/>
  <c r="M121" i="27"/>
  <c r="M122" i="27"/>
  <c r="M123" i="27"/>
  <c r="M124" i="27"/>
  <c r="M125" i="27"/>
  <c r="M126" i="27"/>
  <c r="M127" i="27"/>
  <c r="M128" i="27"/>
  <c r="M129" i="27"/>
  <c r="M130" i="27"/>
  <c r="M138" i="27"/>
  <c r="M139" i="27"/>
  <c r="M141" i="27"/>
  <c r="M142" i="27"/>
  <c r="M143" i="27"/>
  <c r="M144" i="27"/>
  <c r="M145" i="27"/>
  <c r="M146" i="27"/>
  <c r="M147" i="27"/>
  <c r="M148" i="27"/>
  <c r="M149" i="27"/>
  <c r="M150" i="27"/>
  <c r="M161" i="27"/>
  <c r="M162" i="27"/>
  <c r="M163" i="27"/>
  <c r="M164" i="27"/>
  <c r="M156" i="27"/>
  <c r="M157" i="27"/>
  <c r="M158" i="27"/>
  <c r="M159" i="27"/>
  <c r="M160" i="27"/>
  <c r="M165" i="27"/>
  <c r="M166" i="27"/>
  <c r="M167" i="27"/>
  <c r="M168" i="27"/>
  <c r="M169" i="27"/>
  <c r="M170" i="27"/>
  <c r="M171" i="27"/>
  <c r="M172" i="27"/>
  <c r="M173" i="27"/>
  <c r="M174" i="27"/>
  <c r="M175" i="27"/>
  <c r="M176" i="27"/>
  <c r="M177" i="27"/>
  <c r="M178" i="27"/>
  <c r="M179" i="27"/>
  <c r="M180" i="27"/>
  <c r="L2" i="27"/>
  <c r="L3" i="27"/>
  <c r="L4" i="27"/>
  <c r="L5" i="27"/>
  <c r="L6" i="27"/>
  <c r="L11" i="27"/>
  <c r="L7" i="27"/>
  <c r="L8" i="27"/>
  <c r="L9" i="27"/>
  <c r="L12" i="27"/>
  <c r="L13" i="27"/>
  <c r="L15" i="27"/>
  <c r="L16" i="27"/>
  <c r="L18" i="27"/>
  <c r="L23" i="27"/>
  <c r="L19" i="27"/>
  <c r="L20" i="27"/>
  <c r="L21" i="27"/>
  <c r="L86" i="27"/>
  <c r="L87" i="27"/>
  <c r="L89" i="27"/>
  <c r="L90" i="27"/>
  <c r="L91" i="27"/>
  <c r="L93" i="27"/>
  <c r="L94" i="27"/>
  <c r="L95" i="27"/>
  <c r="L96" i="27"/>
  <c r="L112" i="27"/>
  <c r="L113" i="27"/>
  <c r="L114" i="27"/>
  <c r="L115" i="27"/>
  <c r="L116" i="27"/>
  <c r="L117" i="27"/>
  <c r="L118" i="27"/>
  <c r="L119" i="27"/>
  <c r="L120" i="27"/>
  <c r="L121" i="27"/>
  <c r="L122" i="27"/>
  <c r="L123" i="27"/>
  <c r="L124" i="27"/>
  <c r="L125" i="27"/>
  <c r="L126" i="27"/>
  <c r="L127" i="27"/>
  <c r="L128" i="27"/>
  <c r="L129" i="27"/>
  <c r="L130" i="27"/>
  <c r="L138" i="27"/>
  <c r="L139" i="27"/>
  <c r="L141" i="27"/>
  <c r="L142" i="27"/>
  <c r="L143" i="27"/>
  <c r="L144" i="27"/>
  <c r="L145" i="27"/>
  <c r="L146" i="27"/>
  <c r="L147" i="27"/>
  <c r="L148" i="27"/>
  <c r="L149" i="27"/>
  <c r="L150" i="27"/>
  <c r="L161" i="27"/>
  <c r="L162" i="27"/>
  <c r="L163" i="27"/>
  <c r="L164" i="27"/>
  <c r="L156" i="27"/>
  <c r="L157" i="27"/>
  <c r="L158" i="27"/>
  <c r="L159" i="27"/>
  <c r="L160" i="27"/>
  <c r="L165" i="27"/>
  <c r="L166" i="27"/>
  <c r="L167" i="27"/>
  <c r="L168" i="27"/>
  <c r="L169" i="27"/>
  <c r="L170" i="27"/>
  <c r="L171" i="27"/>
  <c r="L172" i="27"/>
  <c r="L173" i="27"/>
  <c r="L174" i="27"/>
  <c r="L175" i="27"/>
  <c r="L176" i="27"/>
  <c r="L177" i="27"/>
  <c r="L178" i="27"/>
  <c r="L179" i="27"/>
  <c r="L180" i="27"/>
  <c r="K2" i="27"/>
  <c r="K3" i="27"/>
  <c r="K4" i="27"/>
  <c r="K5" i="27"/>
  <c r="K6" i="27"/>
  <c r="K11" i="27"/>
  <c r="K7" i="27"/>
  <c r="K8" i="27"/>
  <c r="K9" i="27"/>
  <c r="K12" i="27"/>
  <c r="K13" i="27"/>
  <c r="K15" i="27"/>
  <c r="K16" i="27"/>
  <c r="K18" i="27"/>
  <c r="K23" i="27"/>
  <c r="K19" i="27"/>
  <c r="K20" i="27"/>
  <c r="K21" i="27"/>
  <c r="K86" i="27"/>
  <c r="K87" i="27"/>
  <c r="K89" i="27"/>
  <c r="K90" i="27"/>
  <c r="K91" i="27"/>
  <c r="K93" i="27"/>
  <c r="K94" i="27"/>
  <c r="K95" i="27"/>
  <c r="K96" i="27"/>
  <c r="K112" i="27"/>
  <c r="K113" i="27"/>
  <c r="K114" i="27"/>
  <c r="K115" i="27"/>
  <c r="K116" i="27"/>
  <c r="K117" i="27"/>
  <c r="K118" i="27"/>
  <c r="K119" i="27"/>
  <c r="K120" i="27"/>
  <c r="K121" i="27"/>
  <c r="K122" i="27"/>
  <c r="K123" i="27"/>
  <c r="K124" i="27"/>
  <c r="K125" i="27"/>
  <c r="K126" i="27"/>
  <c r="K127" i="27"/>
  <c r="K128" i="27"/>
  <c r="K129" i="27"/>
  <c r="K130" i="27"/>
  <c r="K138" i="27"/>
  <c r="K139" i="27"/>
  <c r="K141" i="27"/>
  <c r="K142" i="27"/>
  <c r="K143" i="27"/>
  <c r="K144" i="27"/>
  <c r="K145" i="27"/>
  <c r="K146" i="27"/>
  <c r="K147" i="27"/>
  <c r="K148" i="27"/>
  <c r="K149" i="27"/>
  <c r="K150" i="27"/>
  <c r="K161" i="27"/>
  <c r="K162" i="27"/>
  <c r="K163" i="27"/>
  <c r="K164" i="27"/>
  <c r="K156" i="27"/>
  <c r="K157" i="27"/>
  <c r="K158" i="27"/>
  <c r="K159" i="27"/>
  <c r="K160" i="27"/>
  <c r="K165" i="27"/>
  <c r="K166" i="27"/>
  <c r="K167" i="27"/>
  <c r="K168" i="27"/>
  <c r="K169" i="27"/>
  <c r="K170" i="27"/>
  <c r="K171" i="27"/>
  <c r="K172" i="27"/>
  <c r="K173" i="27"/>
  <c r="K174" i="27"/>
  <c r="K175" i="27"/>
  <c r="K176" i="27"/>
  <c r="K177" i="27"/>
  <c r="K178" i="27"/>
  <c r="K179" i="27"/>
  <c r="K180" i="27"/>
  <c r="J2" i="27"/>
  <c r="J3" i="27"/>
  <c r="J4" i="27"/>
  <c r="J5" i="27"/>
  <c r="J6" i="27"/>
  <c r="J11" i="27"/>
  <c r="J7" i="27"/>
  <c r="J8" i="27"/>
  <c r="J9" i="27"/>
  <c r="J12" i="27"/>
  <c r="J13" i="27"/>
  <c r="J15" i="27"/>
  <c r="J16" i="27"/>
  <c r="J18" i="27"/>
  <c r="J23" i="27"/>
  <c r="J19" i="27"/>
  <c r="J20" i="27"/>
  <c r="J21" i="27"/>
  <c r="J86" i="27"/>
  <c r="J87" i="27"/>
  <c r="J89" i="27"/>
  <c r="J90" i="27"/>
  <c r="J91" i="27"/>
  <c r="J93" i="27"/>
  <c r="J94" i="27"/>
  <c r="J95" i="27"/>
  <c r="J96" i="27"/>
  <c r="J112" i="27"/>
  <c r="J113" i="27"/>
  <c r="J114" i="27"/>
  <c r="J115" i="27"/>
  <c r="J116" i="27"/>
  <c r="J117" i="27"/>
  <c r="J118" i="27"/>
  <c r="J119" i="27"/>
  <c r="J120" i="27"/>
  <c r="J121" i="27"/>
  <c r="J122" i="27"/>
  <c r="J123" i="27"/>
  <c r="J124" i="27"/>
  <c r="J125" i="27"/>
  <c r="J126" i="27"/>
  <c r="J127" i="27"/>
  <c r="J128" i="27"/>
  <c r="J129" i="27"/>
  <c r="J130" i="27"/>
  <c r="J138" i="27"/>
  <c r="J139" i="27"/>
  <c r="J141" i="27"/>
  <c r="J142" i="27"/>
  <c r="J143" i="27"/>
  <c r="J144" i="27"/>
  <c r="J145" i="27"/>
  <c r="J146" i="27"/>
  <c r="J147" i="27"/>
  <c r="J148" i="27"/>
  <c r="J149" i="27"/>
  <c r="J150" i="27"/>
  <c r="J161" i="27"/>
  <c r="J162" i="27"/>
  <c r="J163" i="27"/>
  <c r="J164" i="27"/>
  <c r="J156" i="27"/>
  <c r="J157" i="27"/>
  <c r="J158" i="27"/>
  <c r="J159" i="27"/>
  <c r="J160" i="27"/>
  <c r="J165" i="27"/>
  <c r="J166" i="27"/>
  <c r="J167" i="27"/>
  <c r="J168" i="27"/>
  <c r="J169" i="27"/>
  <c r="J170" i="27"/>
  <c r="J171" i="27"/>
  <c r="J172" i="27"/>
  <c r="J173" i="27"/>
  <c r="J174" i="27"/>
  <c r="J175" i="27"/>
  <c r="J176" i="27"/>
  <c r="J177" i="27"/>
  <c r="J178" i="27"/>
  <c r="J179" i="27"/>
  <c r="J180" i="27"/>
  <c r="X143" i="27"/>
  <c r="X169" i="27"/>
  <c r="X18" i="27"/>
  <c r="X3" i="27"/>
  <c r="X23" i="27"/>
  <c r="X12" i="27"/>
  <c r="X156" i="27"/>
  <c r="X150" i="27"/>
  <c r="X21" i="27"/>
  <c r="X91" i="27"/>
  <c r="X94" i="27"/>
  <c r="X118" i="27"/>
  <c r="X19" i="27"/>
  <c r="X147" i="27"/>
  <c r="X89" i="27"/>
  <c r="X117" i="27"/>
  <c r="X163" i="27"/>
  <c r="X158" i="27"/>
  <c r="X178" i="27"/>
  <c r="X123" i="27"/>
  <c r="X145" i="27"/>
  <c r="X90" i="27"/>
  <c r="X115" i="27"/>
  <c r="X138" i="27"/>
  <c r="X15" i="27"/>
  <c r="X127" i="27"/>
  <c r="X87" i="27"/>
  <c r="X171" i="27"/>
  <c r="X13" i="27"/>
  <c r="X125" i="27"/>
  <c r="X5" i="27"/>
  <c r="X6" i="27"/>
  <c r="X2" i="27"/>
  <c r="X20" i="27"/>
  <c r="X16" i="27"/>
  <c r="X179" i="27"/>
  <c r="X130" i="27"/>
  <c r="X166" i="27"/>
  <c r="X120" i="27"/>
  <c r="X9" i="27"/>
  <c r="X124" i="27"/>
  <c r="X170" i="27"/>
  <c r="X167" i="27"/>
  <c r="X139" i="27"/>
  <c r="X173" i="27"/>
  <c r="X119" i="27"/>
  <c r="X112" i="27"/>
  <c r="X180" i="27"/>
  <c r="X141" i="27"/>
  <c r="X174" i="27"/>
  <c r="X4" i="27"/>
  <c r="X126" i="27"/>
  <c r="X128" i="27"/>
  <c r="X93" i="27"/>
  <c r="X162" i="27"/>
  <c r="X114" i="27"/>
  <c r="X175" i="27"/>
  <c r="X146" i="27"/>
  <c r="X11" i="27"/>
  <c r="X121" i="27"/>
  <c r="X8" i="27"/>
  <c r="X161" i="27"/>
  <c r="X168" i="27"/>
  <c r="X159" i="27"/>
  <c r="X7" i="27"/>
  <c r="X164" i="27"/>
  <c r="X95" i="27"/>
  <c r="X96" i="27"/>
  <c r="X157" i="27"/>
  <c r="X113" i="27"/>
  <c r="X149" i="27"/>
  <c r="X177" i="27"/>
  <c r="X142" i="27"/>
  <c r="X165" i="27"/>
  <c r="X160" i="27"/>
  <c r="X86" i="27"/>
  <c r="X172" i="27"/>
  <c r="X176" i="27"/>
  <c r="X122" i="27"/>
  <c r="X129" i="27"/>
  <c r="X144" i="27"/>
  <c r="X148" i="27"/>
  <c r="X116" i="27"/>
  <c r="I176" i="27" l="1"/>
  <c r="I180" i="27" l="1"/>
  <c r="I179" i="27"/>
  <c r="I178" i="27"/>
  <c r="I177" i="27"/>
  <c r="I175" i="27"/>
  <c r="I174" i="27"/>
  <c r="I173" i="27"/>
  <c r="I172" i="27"/>
  <c r="I171" i="27"/>
  <c r="I170" i="27"/>
  <c r="I169" i="27"/>
  <c r="I168" i="27"/>
  <c r="I167" i="27"/>
  <c r="I166" i="27"/>
  <c r="I165" i="27"/>
  <c r="V3" i="30" l="1"/>
  <c r="V2" i="30"/>
  <c r="V10" i="30"/>
  <c r="V17" i="30"/>
  <c r="V18" i="30"/>
  <c r="V15" i="30"/>
  <c r="V20" i="30"/>
  <c r="V21" i="30"/>
  <c r="I21" i="27" l="1"/>
  <c r="I94" i="27" l="1"/>
  <c r="I7" i="27" l="1"/>
  <c r="I2" i="27" l="1"/>
  <c r="I3" i="27"/>
  <c r="I4" i="27"/>
  <c r="I5" i="27"/>
  <c r="I6" i="27"/>
  <c r="I11" i="27"/>
  <c r="I8" i="27"/>
  <c r="I9" i="27"/>
  <c r="I12" i="27" l="1"/>
  <c r="I13" i="27"/>
  <c r="I15" i="27"/>
  <c r="I16" i="27"/>
  <c r="I18" i="27"/>
  <c r="I23" i="27" l="1"/>
  <c r="I19" i="27"/>
  <c r="I20" i="27"/>
  <c r="I86" i="27" l="1"/>
  <c r="I87" i="27"/>
  <c r="I89" i="27"/>
  <c r="I90" i="27"/>
  <c r="I91" i="27"/>
  <c r="I93" i="27"/>
  <c r="I95" i="27"/>
  <c r="I96" i="27"/>
  <c r="I112" i="27" l="1"/>
  <c r="I113" i="27"/>
  <c r="I114" i="27"/>
  <c r="I115" i="27"/>
  <c r="I116" i="27"/>
  <c r="I117" i="27"/>
  <c r="I118" i="27"/>
  <c r="I119" i="27"/>
  <c r="I120" i="27"/>
  <c r="I121" i="27"/>
  <c r="I122" i="27"/>
  <c r="I123" i="27"/>
  <c r="I124" i="27"/>
  <c r="I125" i="27"/>
  <c r="I126" i="27"/>
  <c r="I127" i="27"/>
  <c r="I128" i="27"/>
  <c r="I129" i="27"/>
  <c r="I130" i="27"/>
  <c r="I138" i="27"/>
  <c r="I139" i="27"/>
  <c r="I141" i="27"/>
  <c r="I142" i="27"/>
  <c r="I143" i="27"/>
  <c r="I144" i="27"/>
  <c r="I145" i="27"/>
  <c r="I146" i="27"/>
  <c r="I147" i="27"/>
  <c r="I148" i="27"/>
  <c r="I149" i="27"/>
  <c r="I150" i="27"/>
  <c r="I161" i="27"/>
  <c r="I162" i="27"/>
  <c r="I163" i="27"/>
  <c r="I164" i="27"/>
  <c r="I156" i="27"/>
  <c r="I157" i="27"/>
  <c r="I158" i="27"/>
  <c r="I159" i="27"/>
  <c r="I160" i="27"/>
  <c r="S2" i="30" l="1"/>
  <c r="H2" i="30"/>
  <c r="I2" i="30"/>
  <c r="J2" i="30"/>
  <c r="K2" i="30"/>
  <c r="L2" i="30"/>
  <c r="M2" i="30"/>
  <c r="N2" i="30"/>
  <c r="O2" i="30"/>
  <c r="P2" i="30"/>
  <c r="Q2" i="30"/>
  <c r="R2" i="30"/>
  <c r="T2" i="30"/>
  <c r="U2" i="30"/>
  <c r="H10" i="30" l="1"/>
  <c r="H15" i="30"/>
  <c r="H3" i="30"/>
  <c r="H17" i="30"/>
  <c r="H18" i="30"/>
  <c r="H21" i="30"/>
  <c r="H20" i="30"/>
  <c r="U10" i="30"/>
  <c r="U15" i="30"/>
  <c r="U3" i="30"/>
  <c r="U17" i="30"/>
  <c r="U18" i="30"/>
  <c r="U21" i="30"/>
  <c r="U20" i="30"/>
  <c r="T10" i="30"/>
  <c r="T15" i="30"/>
  <c r="T3" i="30"/>
  <c r="T17" i="30"/>
  <c r="T18" i="30"/>
  <c r="T21" i="30"/>
  <c r="T20" i="30"/>
  <c r="S10" i="30"/>
  <c r="S15" i="30"/>
  <c r="S3" i="30"/>
  <c r="S17" i="30"/>
  <c r="S18" i="30"/>
  <c r="S21" i="30"/>
  <c r="S20" i="30"/>
  <c r="R10" i="30"/>
  <c r="R15" i="30"/>
  <c r="R3" i="30"/>
  <c r="R17" i="30"/>
  <c r="R18" i="30"/>
  <c r="R21" i="30"/>
  <c r="R20" i="30"/>
  <c r="Q10" i="30"/>
  <c r="Q15" i="30"/>
  <c r="Q3" i="30"/>
  <c r="Q17" i="30"/>
  <c r="Q18" i="30"/>
  <c r="Q21" i="30"/>
  <c r="Q20" i="30"/>
  <c r="J10" i="30"/>
  <c r="J15" i="30"/>
  <c r="J3" i="30"/>
  <c r="J17" i="30"/>
  <c r="J18" i="30"/>
  <c r="J21" i="30"/>
  <c r="J20" i="30"/>
  <c r="K10" i="30"/>
  <c r="K15" i="30"/>
  <c r="K3" i="30"/>
  <c r="K17" i="30"/>
  <c r="K18" i="30"/>
  <c r="K21" i="30"/>
  <c r="K20" i="30"/>
  <c r="L10" i="30"/>
  <c r="L15" i="30"/>
  <c r="L3" i="30"/>
  <c r="L17" i="30"/>
  <c r="L18" i="30"/>
  <c r="L21" i="30"/>
  <c r="L20" i="30"/>
  <c r="M10" i="30"/>
  <c r="M15" i="30"/>
  <c r="M3" i="30"/>
  <c r="M17" i="30"/>
  <c r="M18" i="30"/>
  <c r="M21" i="30"/>
  <c r="M20" i="30"/>
  <c r="N10" i="30"/>
  <c r="N15" i="30"/>
  <c r="N3" i="30"/>
  <c r="N17" i="30"/>
  <c r="N18" i="30"/>
  <c r="N21" i="30"/>
  <c r="N20" i="30"/>
  <c r="O10" i="30"/>
  <c r="O15" i="30"/>
  <c r="O3" i="30"/>
  <c r="O17" i="30"/>
  <c r="O18" i="30"/>
  <c r="O21" i="30"/>
  <c r="O20" i="30"/>
  <c r="P10" i="30"/>
  <c r="P15" i="30"/>
  <c r="P3" i="30"/>
  <c r="P17" i="30"/>
  <c r="P18" i="30"/>
  <c r="P21" i="30"/>
  <c r="P20" i="30"/>
  <c r="I10" i="30"/>
  <c r="I15" i="30"/>
  <c r="I3" i="30"/>
  <c r="I17" i="30"/>
  <c r="I18" i="30"/>
  <c r="I21" i="30"/>
  <c r="I20" i="30"/>
  <c r="V15" i="27"/>
  <c r="V19" i="27"/>
  <c r="V25" i="27"/>
  <c r="V33" i="27"/>
  <c r="V37" i="27"/>
  <c r="V59" i="27"/>
  <c r="V63" i="27"/>
  <c r="V70" i="27"/>
  <c r="V74" i="27"/>
  <c r="V78" i="27"/>
  <c r="V79" i="27"/>
  <c r="V83" i="27"/>
  <c r="V91" i="27"/>
  <c r="V95" i="27"/>
  <c r="V111" i="27"/>
  <c r="V115" i="27"/>
  <c r="V119" i="27"/>
  <c r="V127" i="27"/>
  <c r="V141" i="27"/>
  <c r="V148" i="27"/>
  <c r="V162" i="27"/>
  <c r="V157" i="27"/>
  <c r="V168" i="27"/>
  <c r="V176" i="27"/>
  <c r="V180" i="27"/>
  <c r="V24" i="27"/>
  <c r="V40" i="27"/>
  <c r="V66" i="27"/>
  <c r="V77" i="27"/>
  <c r="V82" i="27"/>
  <c r="V99" i="27"/>
  <c r="V106" i="27"/>
  <c r="V118" i="27"/>
  <c r="V147" i="27"/>
  <c r="V160" i="27"/>
  <c r="V16" i="27"/>
  <c r="V20" i="27"/>
  <c r="V26" i="27"/>
  <c r="V34" i="27"/>
  <c r="V38" i="27"/>
  <c r="V56" i="27"/>
  <c r="V60" i="27"/>
  <c r="V64" i="27"/>
  <c r="V71" i="27"/>
  <c r="V75" i="27"/>
  <c r="V80" i="27"/>
  <c r="V84" i="27"/>
  <c r="V92" i="27"/>
  <c r="V96" i="27"/>
  <c r="V97" i="27"/>
  <c r="V104" i="27"/>
  <c r="V112" i="27"/>
  <c r="V116" i="27"/>
  <c r="V120" i="27"/>
  <c r="V128" i="27"/>
  <c r="V29" i="27"/>
  <c r="V67" i="27"/>
  <c r="V87" i="27"/>
  <c r="V100" i="27"/>
  <c r="V107" i="27"/>
  <c r="V123" i="27"/>
  <c r="V144" i="27"/>
  <c r="V172" i="27"/>
  <c r="V32" i="27"/>
  <c r="V58" i="27"/>
  <c r="V90" i="27"/>
  <c r="V130" i="27"/>
  <c r="V175" i="27"/>
  <c r="V30" i="27"/>
  <c r="V68" i="27"/>
  <c r="V88" i="27"/>
  <c r="V101" i="27"/>
  <c r="V108" i="27"/>
  <c r="V124" i="27"/>
  <c r="V138" i="27"/>
  <c r="V142" i="27"/>
  <c r="V145" i="27"/>
  <c r="V163" i="27"/>
  <c r="V158" i="27"/>
  <c r="V165" i="27"/>
  <c r="V169" i="27"/>
  <c r="V173" i="27"/>
  <c r="V28" i="27"/>
  <c r="V69" i="27"/>
  <c r="V110" i="27"/>
  <c r="V140" i="27"/>
  <c r="V161" i="27"/>
  <c r="V18" i="27"/>
  <c r="V21" i="27"/>
  <c r="V27" i="27"/>
  <c r="V35" i="27"/>
  <c r="V39" i="27"/>
  <c r="V57" i="27"/>
  <c r="V61" i="27"/>
  <c r="V65" i="27"/>
  <c r="V72" i="27"/>
  <c r="V76" i="27"/>
  <c r="V81" i="27"/>
  <c r="V85" i="27"/>
  <c r="V93" i="27"/>
  <c r="V98" i="27"/>
  <c r="V105" i="27"/>
  <c r="V113" i="27"/>
  <c r="V117" i="27"/>
  <c r="V121" i="27"/>
  <c r="V129" i="27"/>
  <c r="V139" i="27"/>
  <c r="V143" i="27"/>
  <c r="V150" i="27"/>
  <c r="V164" i="27"/>
  <c r="V159" i="27"/>
  <c r="V166" i="27"/>
  <c r="V170" i="27"/>
  <c r="V178" i="27"/>
  <c r="V23" i="27"/>
  <c r="V36" i="27"/>
  <c r="V149" i="27"/>
  <c r="V177" i="27"/>
  <c r="V86" i="27"/>
  <c r="V122" i="27"/>
  <c r="V171" i="27"/>
  <c r="V31" i="27"/>
  <c r="V89" i="27"/>
  <c r="V102" i="27"/>
  <c r="V109" i="27"/>
  <c r="V125" i="27"/>
  <c r="V146" i="27"/>
  <c r="V174" i="27"/>
  <c r="V62" i="27"/>
  <c r="V94" i="27"/>
  <c r="V114" i="27"/>
  <c r="V126" i="27"/>
  <c r="V156" i="27"/>
  <c r="V167" i="27"/>
  <c r="V179" i="27"/>
  <c r="V73" i="27"/>
  <c r="V103" i="27"/>
</calcChain>
</file>

<file path=xl/sharedStrings.xml><?xml version="1.0" encoding="utf-8"?>
<sst xmlns="http://schemas.openxmlformats.org/spreadsheetml/2006/main" count="1042" uniqueCount="353">
  <si>
    <t>User</t>
  </si>
  <si>
    <t>Description</t>
  </si>
  <si>
    <t>Length</t>
  </si>
  <si>
    <t>Name</t>
  </si>
  <si>
    <t>table</t>
  </si>
  <si>
    <t/>
  </si>
  <si>
    <t>id</t>
  </si>
  <si>
    <t>string</t>
  </si>
  <si>
    <t>ref</t>
  </si>
  <si>
    <t>status</t>
  </si>
  <si>
    <t>boolean</t>
  </si>
  <si>
    <t>datetime</t>
  </si>
  <si>
    <t>integer</t>
  </si>
  <si>
    <t>description</t>
  </si>
  <si>
    <t>name</t>
  </si>
  <si>
    <t>givenName</t>
  </si>
  <si>
    <t>The given name of the contact.</t>
  </si>
  <si>
    <t>surname</t>
  </si>
  <si>
    <t>The surname of the contact.</t>
  </si>
  <si>
    <t>notes</t>
  </si>
  <si>
    <t>links</t>
  </si>
  <si>
    <t>UserFavourite</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</si>
  <si>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</si>
  <si>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</si>
  <si>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</si>
  <si>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</si>
  <si>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</si>
  <si>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NotificationEvent</t>
  </si>
  <si>
    <t>hasBeenViewed</t>
  </si>
  <si>
    <t>isWatchNotification</t>
  </si>
  <si>
    <t>eventTime</t>
  </si>
  <si>
    <t>eventTypeCode</t>
  </si>
  <si>
    <t>email</t>
  </si>
  <si>
    <t>guid</t>
  </si>
  <si>
    <t>Role</t>
  </si>
  <si>
    <t>RolePermission</t>
  </si>
  <si>
    <t>Permission</t>
  </si>
  <si>
    <t>code</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</si>
  <si>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</si>
  <si>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</si>
  <si>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</si>
  <si>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</si>
  <si>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</si>
  <si>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</si>
  <si>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</si>
  <si>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</si>
  <si>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</si>
  <si>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</si>
  <si>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</si>
  <si>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</si>
  <si>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</si>
  <si>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</si>
  <si>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</si>
  <si>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</si>
  <si>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</si>
  <si>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</si>
  <si>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</si>
  <si>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</si>
  <si>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</si>
  <si>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</si>
  <si>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</si>
  <si>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</si>
  <si>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</si>
  <si>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</si>
  <si>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</si>
  <si>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</si>
  <si>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</si>
  <si>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</si>
  <si>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</si>
  <si>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</si>
  <si>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</si>
  <si>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</si>
  <si>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</si>
  <si>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permissions</t>
  </si>
  <si>
    <t>roles</t>
  </si>
  <si>
    <t>rg:dataset('paths.csv','Path')</t>
  </si>
  <si>
    <t>The text of the history entry tracked against the related entity.</t>
  </si>
  <si>
    <t>historyText</t>
  </si>
  <si>
    <t>A note about the contact maintained by the users.</t>
  </si>
  <si>
    <t>!Unique</t>
  </si>
  <si>
    <t>Unique</t>
  </si>
  <si>
    <t>binary</t>
  </si>
  <si>
    <t>float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</si>
  <si>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</si>
  <si>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</si>
  <si>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</si>
  <si>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</si>
  <si>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</si>
  <si>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</si>
  <si>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</si>
  <si>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</si>
  <si>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</si>
  <si>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</si>
  <si>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</si>
  <si>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</si>
  <si>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</si>
  <si>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</si>
  <si>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</si>
  <si>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fileName</t>
  </si>
  <si>
    <t>workPhoneNumber</t>
  </si>
  <si>
    <t>mobilePhoneNumber</t>
  </si>
  <si>
    <t>emailAddress</t>
  </si>
  <si>
    <t>The email address for the contact.</t>
  </si>
  <si>
    <t>The work phone number for the contact.</t>
  </si>
  <si>
    <t>The mobile phone number for the contact.</t>
  </si>
  <si>
    <t>!permission</t>
  </si>
  <si>
    <t>ADMIN</t>
  </si>
  <si>
    <t>x-codegen-permission</t>
  </si>
  <si>
    <t>Audit</t>
  </si>
  <si>
    <t>propertyName</t>
  </si>
  <si>
    <t>oldValue</t>
  </si>
  <si>
    <t>newValue</t>
  </si>
  <si>
    <t>appCreateTimestamp</t>
  </si>
  <si>
    <t>appCreateUserGuid</t>
  </si>
  <si>
    <t>appCreateUserDirectory</t>
  </si>
  <si>
    <t>appLastUpdateTimestamp</t>
  </si>
  <si>
    <t>The date and time of the application action that created or last updated the record.</t>
  </si>
  <si>
    <t>appLastUpdateUserGuid</t>
  </si>
  <si>
    <t>appLastUpdateUserid</t>
  </si>
  <si>
    <t>appCreateUserid</t>
  </si>
  <si>
    <t>appLastUpdateUserDirectory</t>
  </si>
  <si>
    <t>entityName</t>
  </si>
  <si>
    <t>isDelete</t>
  </si>
  <si>
    <t>entityId</t>
  </si>
  <si>
    <t>credittrades</t>
  </si>
  <si>
    <t>CreditTrade</t>
  </si>
  <si>
    <t>numberOfCredits</t>
  </si>
  <si>
    <t>FuelSupplier</t>
  </si>
  <si>
    <t>newNumberOfCredits</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</si>
  <si>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</si>
  <si>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</si>
  <si>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fuelsuppliers</t>
  </si>
  <si>
    <t>rolepermissions</t>
  </si>
  <si>
    <t>users</t>
  </si>
  <si>
    <t>CreditTradeStatus</t>
  </si>
  <si>
    <t>CreditTradeType</t>
  </si>
  <si>
    <t>credittradestatuses</t>
  </si>
  <si>
    <t>credittradetypes</t>
  </si>
  <si>
    <t>fuelsupplierstatuses</t>
  </si>
  <si>
    <t>FuelSupplierStatus</t>
  </si>
  <si>
    <t>authorizationID</t>
  </si>
  <si>
    <t>CreditTradeHistory</t>
  </si>
  <si>
    <t>credittradehistories</t>
  </si>
  <si>
    <t>FuelSupplierContact</t>
  </si>
  <si>
    <t>title</t>
  </si>
  <si>
    <t>The title of the contact within their organization.</t>
  </si>
  <si>
    <t>context</t>
  </si>
  <si>
    <t>The context (as defined by the UI) in the application to which this favourite applies.</t>
  </si>
  <si>
    <t>FuelSupplierAttachment</t>
  </si>
  <si>
    <t>FuelSupplierHistory</t>
  </si>
  <si>
    <t>fuelsupplierattachments</t>
  </si>
  <si>
    <t>fuelsupplierhistories</t>
  </si>
  <si>
    <t>fuelsuppliercontacts</t>
  </si>
  <si>
    <t>fairMarketValuePerCredit</t>
  </si>
  <si>
    <t>tradeEffectiveDate</t>
  </si>
  <si>
    <t>newTradeEffectiveDate</t>
  </si>
  <si>
    <t>newFairMarketValuePerCredit</t>
  </si>
  <si>
    <t>FuelSupplierBalance</t>
  </si>
  <si>
    <t>effectiveDate</t>
  </si>
  <si>
    <t>endDate</t>
  </si>
  <si>
    <t>validatedCredits</t>
  </si>
  <si>
    <t>fuelsupplierbalances</t>
  </si>
  <si>
    <t>commonClientOrgId</t>
  </si>
  <si>
    <t>lastUpdatefromCommonClient</t>
  </si>
  <si>
    <t>userId</t>
  </si>
  <si>
    <t>expirationDate</t>
  </si>
  <si>
    <t>displayOrder</t>
  </si>
  <si>
    <t>The number of credits involved in the Credit Trade.</t>
  </si>
  <si>
    <t>The date/time of the last update of the Common Client information about the Fuel Supplier.</t>
  </si>
  <si>
    <t>The name of the Fuel Supplier pulled from the Common Client information about the Fuel Supplier.</t>
  </si>
  <si>
    <t>A foreign key reference to the Fuel Supplier that initiated the transaction. Will be NULL if the Government of BC initiated the transaction.</t>
  </si>
  <si>
    <t>A foreign key reference to a Fuel Supplier to which the trade was proposed.</t>
  </si>
  <si>
    <t>The price (if applicable) of each credit in the transaction. There is no fair market value on transaction initiated by the Government of BC.</t>
  </si>
  <si>
    <t>The user-defined name for the recorded settings. Allows the user to save dipportunityent groups of settings and access each one easily when needed.</t>
  </si>
  <si>
    <t>fileLocation</t>
  </si>
  <si>
    <t>FuelSupplierContactRole</t>
  </si>
  <si>
    <t>A table of contacts related to the Fuel Suppliers in the system.</t>
  </si>
  <si>
    <t>FuelSupplierCCData</t>
  </si>
  <si>
    <t>corporateAddressCity</t>
  </si>
  <si>
    <t>corporateAddressLine2</t>
  </si>
  <si>
    <t>corporateAddressLine1</t>
  </si>
  <si>
    <t>corporateAddressPostalCode</t>
  </si>
  <si>
    <t>corporateAddressProvince</t>
  </si>
  <si>
    <t>complianceYear</t>
  </si>
  <si>
    <t>The compliance year (FY) to which this document pertains.</t>
  </si>
  <si>
    <t>FuelSupplierAttachmentTag</t>
  </si>
  <si>
    <t>A user-entered to tag applied to the Fuel Supplier Attachment.</t>
  </si>
  <si>
    <t>note</t>
  </si>
  <si>
    <t>creditTradeUpdateTime</t>
  </si>
  <si>
    <t>The Trade Effective Date of the Credit Trade after the update.</t>
  </si>
  <si>
    <t>The number of credits involved in the Credit Trade after the update.</t>
  </si>
  <si>
    <t>A foreign key reference to a CreditTradeStatus indicating the Credit Trade Status after the update.</t>
  </si>
  <si>
    <t>The possible status values associated with a Credit Trade.</t>
  </si>
  <si>
    <t>Information about the purpose of the Credit Trade status.</t>
  </si>
  <si>
    <t>The data after which the Credit Trade status will no longer be used.</t>
  </si>
  <si>
    <t>The types of Credit Trades that can be proposed by the initiating organization.</t>
  </si>
  <si>
    <t>The name of the type of Credit Trade, such as Buy, Sell, Award, etc.</t>
  </si>
  <si>
    <t>The datetime upon which the Credit Trade status was activated for use.</t>
  </si>
  <si>
    <t>The datetime upon which the Credit Trade type was activated for use.</t>
  </si>
  <si>
    <t>The data after which the Credit Trade type will no longer be used.</t>
  </si>
  <si>
    <t>The order of display of the Credit Trade status. In general the order will be listed chronologically as they occur in a typical transaction, with exception statuses (e.g. Cancelled) at the bottom.</t>
  </si>
  <si>
    <t>The order of display of the Credit Trade type In general the order will be listed in the order of expected frequency.</t>
  </si>
  <si>
    <t>End user help-text information about the Credit Trade type.</t>
  </si>
  <si>
    <t>isInternalHistoryRecord</t>
  </si>
  <si>
    <t>FuelSupplierActionsType</t>
  </si>
  <si>
    <t>The types of actions that Fuel Suppliers that can take - Buy and Sell, Buy Only, etc.</t>
  </si>
  <si>
    <t>The name of the type of actions the Fuel Supplier can perform.</t>
  </si>
  <si>
    <t>End user help-text information about the Fuel Supplier actions type.</t>
  </si>
  <si>
    <t>The datetime upon which the Fuel Supplier actions type was activated for use.</t>
  </si>
  <si>
    <t>The date/time after which the Fuel Supplier action type will no longer be used.</t>
  </si>
  <si>
    <t>The effective date at which the given numbers of validated and encumbered credits were held by the Fuel Supplier.</t>
  </si>
  <si>
    <t>The date this record was no longer in effect - likely because a new record was added with new Credit count(s).</t>
  </si>
  <si>
    <t>The date/time the Fuel Supplier was added as a Fuel Supplier to the TFRS program.</t>
  </si>
  <si>
    <t>isGovOnlyType</t>
  </si>
  <si>
    <t>The Credit Trade Type is a government-only type of Credit Trade - not available to Fuel Suppliers.</t>
  </si>
  <si>
    <t>A transaction that if completed changes the number of Low-Carbon Fuel Credits owned by a Fuel Supplier. The transfer of Credits may involve the BC Gov't (an award or retirement of Credits) or another Fuel Supplier (a Buy or Sell).</t>
  </si>
  <si>
    <t>A snapshot of a Credit Trade following a change to the Credit Trade data.</t>
  </si>
  <si>
    <t>A system-generated unique identifier for a Credit Trade.</t>
  </si>
  <si>
    <t>A foreign key reference to a CreditTradeStatus.</t>
  </si>
  <si>
    <t>A foreign key reference to the CreditTradeType.</t>
  </si>
  <si>
    <t>A system-generated unique identifier for a Credit Trade History.</t>
  </si>
  <si>
    <t>A foreign key reference to the User that updated the Credit Trade.</t>
  </si>
  <si>
    <t>A system-generated unique identifier for a Credit Trade Status.</t>
  </si>
  <si>
    <t>A system-generated unique identifier for a Credit Trade Type.</t>
  </si>
  <si>
    <t>A foreign key reference to a FuelSupplier.</t>
  </si>
  <si>
    <t>A system-generated unique identifier for a Fuel Supplier Status.</t>
  </si>
  <si>
    <t>A system-generated unique identifier for a Fuel Supplier Actions Type.</t>
  </si>
  <si>
    <t>A system-generated unique identifier for a Fuel Supplier Contact.</t>
  </si>
  <si>
    <t>A foreign key reference to a User.</t>
  </si>
  <si>
    <t>Attachments uploaded by users about Fuel Supplier.</t>
  </si>
  <si>
    <t>A system-generated unique identifier for a Fuel Supplier Attachment.</t>
  </si>
  <si>
    <t>Filename as passed by the user uploading the file.</t>
  </si>
  <si>
    <t>The history of updates made to a Fuel Supplier.</t>
  </si>
  <si>
    <t>A system-generated unique identifier for a Fuel Supplier History.</t>
  </si>
  <si>
    <t>A system-generated unique identifier for a User Favourite.</t>
  </si>
  <si>
    <t>A system-generated unique identifier for a Notification.</t>
  </si>
  <si>
    <t>A foreign key reference to a NotificationEvent.</t>
  </si>
  <si>
    <t>True if the user linked to the notification has read the notification.</t>
  </si>
  <si>
    <t>True if the user linked to the notification has flagged the notification to remain visible.</t>
  </si>
  <si>
    <t>A system-generated unique identifier for a Notification Event.</t>
  </si>
  <si>
    <t>A foreign key reference to a CreditTrade.</t>
  </si>
  <si>
    <t>A system-generated unique identifier for a User.</t>
  </si>
  <si>
    <t>The ID of the User in the authorization system of record.</t>
  </si>
  <si>
    <t>A system-generated unique identifier for a Role.</t>
  </si>
  <si>
    <t>A system-generated unique identifier for a Role Permission.</t>
  </si>
  <si>
    <t>A foreign key reference to a Role.</t>
  </si>
  <si>
    <t>A foreign key reference to a Permission.</t>
  </si>
  <si>
    <t>A system-generated unique identifier for a Permission.</t>
  </si>
  <si>
    <t>Server generated audit log.</t>
  </si>
  <si>
    <t>A system-generated unique identifier for an Audit.</t>
  </si>
  <si>
    <t>The date and time of the application action that created the record. .</t>
  </si>
  <si>
    <t>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</si>
  <si>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</si>
  <si>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The directory in which APP_CREATE_USERID is defined. Valid values are 'IDIR', ' BCEID' or 'ORACLE'. .</t>
  </si>
  <si>
    <t>The Globally Unique Identifier of the application user who performed the action that created or last updated the record. This value must be non-NULL if APP_CREATE_USER_DIRECTORY is 'IDIR' or 'BCEID', but it must be NULL if APP_CREATE_USER_DIRECTORY is 'ORACLE'. .</t>
  </si>
  <si>
    <t>The directory in which APP_LAST_UPDATE_USERID is defined. Valid values are 'IDIR', ' BCEID' or 'ORACLE'. .</t>
  </si>
  <si>
    <t>The name of the entity that has changed.</t>
  </si>
  <si>
    <t>The primary key in the entity that has changed.</t>
  </si>
  <si>
    <t>The property that has changed.</t>
  </si>
  <si>
    <t>The old value.</t>
  </si>
  <si>
    <t>The new value.</t>
  </si>
  <si>
    <t>If true the record was deleted.</t>
  </si>
  <si>
    <t>The date/time the update was made to the Credit Trade.</t>
  </si>
  <si>
    <t>A foreign key reference to a CreditTradeType after the update.</t>
  </si>
  <si>
    <t>The Fair Market Value per Credit in the Credit Trade after the update.</t>
  </si>
  <si>
    <t>A note entered by the user making the update about the Credit Trade update.</t>
  </si>
  <si>
    <t>True if the Credit Trade history record is to be visible only to those in the organization of the user that made the update.</t>
  </si>
  <si>
    <t>The name of the Credit Trade status.</t>
  </si>
  <si>
    <t>A Fuel Supplier that is or was eligible to be a part of the Low Carbon Fuel Credits trading program.</t>
  </si>
  <si>
    <t>A system-generated unique identifier for the Fuel Supplier.</t>
  </si>
  <si>
    <t>A foreign key reference to the Fuel Supplier Status.</t>
  </si>
  <si>
    <t>A foreign key reference to the Fuel Supplier's Actions Type.</t>
  </si>
  <si>
    <t>Information from the Natural Resources Sector's Common Client system about the Fuel Supplier. The data is a cache of the data in Common Client and is ideally (assuming Common Client is online) updated on each access of the information, and periodically (for reporting purposes).</t>
  </si>
  <si>
    <t>A system-generated unique identifier for the Fuel Supplier Common Client record.</t>
  </si>
  <si>
    <t>A foreign key reference to a Fuel Supplier for which the Common Client data is related.</t>
  </si>
  <si>
    <t>The Foreign Key Id of the Fuel Supplier in Common Client. Used for Web Services calls to the NRS Common Client API.</t>
  </si>
  <si>
    <t>The Name of the Fuel Supplier - from Common Client.</t>
  </si>
  <si>
    <t>Address Line 1  of the Fuel Supplier's primary Corporate Address - from Common Client.</t>
  </si>
  <si>
    <t>Address Line 2  of the Fuel Supplier's primary Corporate Address - from Common Client.</t>
  </si>
  <si>
    <t>City of the Fuel Supplier's primary Corporate Address - from Common Client.</t>
  </si>
  <si>
    <t>Postal Code  of the Fuel Supplier's primary Corporate Address - from Common Client.</t>
  </si>
  <si>
    <t>Province of the Fuel Supplier's primary Corporate Address - from Common Client.</t>
  </si>
  <si>
    <t>The ledger tracking the balance of Credits owned by a Fuel Supplier and updated on the completion of Credit Trade.</t>
  </si>
  <si>
    <t>A system-generated unique identifier for the Fuel Supplier Balance.</t>
  </si>
  <si>
    <t>A foreign key reference to the FuelSupplier.</t>
  </si>
  <si>
    <t>The number of validated credits held by the Fuel Supplier at the time the record was active.</t>
  </si>
  <si>
    <t>The name of the Fuel Supplier status.</t>
  </si>
  <si>
    <t>End user help-text information about the Fuel Supplier Status.</t>
  </si>
  <si>
    <t>The date/time upon which the Fuel Supplier status was activated for use.</t>
  </si>
  <si>
    <t>The data after which the Fuel Supplier status will no longer be used.</t>
  </si>
  <si>
    <t>The order of display of the Fuel Supplier status. In general the order will be listed chronologically as they occur in a typical transaction, with exception statuses (e.g. Cancelled) at the bottom.</t>
  </si>
  <si>
    <t>The statuses of a Fuel Supplier over their lifecycle in the application.</t>
  </si>
  <si>
    <t>The order of display of the Fuel Supplier actions type. The order will be alphabetic.</t>
  </si>
  <si>
    <t>The location of the file relative to the server - possibly an ID for getting the file from the Natural Resources Sector (NRS) Document Management system.</t>
  </si>
  <si>
    <t>A note about the attachment,  optionally provided by the user on upload or replacement.</t>
  </si>
  <si>
    <t>A tag associated with a Fuel Supplier Attachment.</t>
  </si>
  <si>
    <t>A foreign key reference to the Fuel Supplier Attachment to which the tag is related.</t>
  </si>
  <si>
    <t>NotificationType</t>
  </si>
  <si>
    <t>The types of notifications that occur in the system and might be of interest to users.</t>
  </si>
  <si>
    <t>A system-generated unique identifier for a Notification Type.</t>
  </si>
  <si>
    <t>The name of the notification type presented to the users.</t>
  </si>
  <si>
    <t>End user help-text information about the notification type.</t>
  </si>
  <si>
    <t>The datetime upon which the notification type was activated for use.</t>
  </si>
  <si>
    <t>The date/time after which the notification type will no longer be used.</t>
  </si>
  <si>
    <t>The order of display of the notification types.</t>
  </si>
  <si>
    <t>The text user ID of the user in the given Authorization Directory.</t>
  </si>
  <si>
    <t>authorizationDirectory</t>
  </si>
  <si>
    <t>The name of the Authorization Directory from with which the user Id is recorded.</t>
  </si>
  <si>
    <t>fuelsuppliersCCDatum</t>
  </si>
  <si>
    <t>fuelsupplieractionstypes</t>
  </si>
  <si>
    <t>fuelsuppliercontactroles</t>
  </si>
  <si>
    <t>fuelsupplierattachmenttags</t>
  </si>
  <si>
    <t>notificationtypes</t>
  </si>
  <si>
    <t>UserRole</t>
  </si>
  <si>
    <t>A link defining the Roles associated with each User.</t>
  </si>
  <si>
    <t>A system-generated unique identifier for a UserRole.</t>
  </si>
  <si>
    <t>userroles</t>
  </si>
  <si>
    <t>theType</t>
  </si>
  <si>
    <t>PermissionViewModel</t>
  </si>
  <si>
    <t>RoleViewModel</t>
  </si>
  <si>
    <t>createdDate</t>
  </si>
  <si>
    <t>creditTradeStatusFK</t>
  </si>
  <si>
    <t>initiatorFK</t>
  </si>
  <si>
    <t>respondentFK</t>
  </si>
  <si>
    <t>creditTradeTypeFK</t>
  </si>
  <si>
    <t>userFK</t>
  </si>
  <si>
    <t>fuelSupplierFK</t>
  </si>
  <si>
    <t>fuelSupplierStatusFK</t>
  </si>
  <si>
    <t>fuelSupplierActionsTypeFK</t>
  </si>
  <si>
    <t>creditTradeFK</t>
  </si>
  <si>
    <t>roleFK</t>
  </si>
  <si>
    <t>fuelSupplierAttachmentFK</t>
  </si>
  <si>
    <t>notificationEventFK</t>
  </si>
  <si>
    <t>permissionFK</t>
  </si>
  <si>
    <t>newRespondentFK</t>
  </si>
  <si>
    <t>A foreign key reference to the Credit Trade that generated this Credit Trade History record.</t>
  </si>
  <si>
    <t>A foreign key reference to a CreditTrade that triggered a change in the number of validated credits held by the Fuel Supplier.</t>
  </si>
  <si>
    <t>CreditTradeZeroReason</t>
  </si>
  <si>
    <t>reason</t>
  </si>
  <si>
    <t>The reason for a $0.00 per Credit Trade.</t>
  </si>
  <si>
    <t>A system-generated unique identifier for a Credit Trade Zero Reason.</t>
  </si>
  <si>
    <t>The text of the reason for the $0.00 per Credit Trade trade.</t>
  </si>
  <si>
    <t>End user help-text information about the Credit Trade Zero Reason.</t>
  </si>
  <si>
    <t>The datetime upon which the Credit Trade Zero Reason was activated for use.</t>
  </si>
  <si>
    <t>The data after which the Credit Trade Zero Reason will no longer be used.</t>
  </si>
  <si>
    <t>The order of display of the Credit Trade Zero Reason. In general the order will be listed in the order of expected frequency.</t>
  </si>
  <si>
    <t>A foreign key reference to the Credit Trade Zero Reason.</t>
  </si>
  <si>
    <t>The effective date of the trade if specified beforehand and the date on which the trade occurred after execution. If NULL - indicates the trade has not occurred and the effective date will be the date the Ministry Approver approves the transaction.</t>
  </si>
  <si>
    <t>credittradezeroreason</t>
  </si>
  <si>
    <t>creditTradeZeroReasonFK</t>
  </si>
  <si>
    <t>newCreditTradeZeroReasonFK</t>
  </si>
  <si>
    <t>isGovernmentRole</t>
  </si>
  <si>
    <t>When true, the role is for Government users only and so is not visible to the Fuel Supplier Contact screen.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</si>
</sst>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s>
  <fills count="2">
    <fill>
      <patternFill patternType="none"/>
    </fill>
    <fill>
      <patternFill patternType="gray125"/>
    </fill>
  </fills>
  <borders count="1">
    <border>
      <left/>
      <right/>
      <top/>
      <bottom/>
      <diagonal/>
    </border>
  </borders>
  <cellStyleXfs count="722">
    <xf numFmtId="0" fontId="0" fillId="0" borderId="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4" fillId="0" borderId="0"/>
    <xf numFmtId="0" fontId="28" fillId="0" borderId="0"/>
    <xf numFmtId="0" fontId="25" fillId="0" borderId="0"/>
  </cellStyleXfs>
  <cellXfs count="92">
    <xf numFmtId="0" fontId="0" fillId="0" borderId="0" xfId="0"/>
    <xf numFmtId="0" fontId="38" fillId="0" borderId="0" xfId="719" applyFont="1" applyAlignment="1">
      <alignment vertical="top"/>
    </xf>
    <xf numFmtId="0" fontId="38" fillId="0" borderId="0" xfId="719" applyFont="1" applyAlignment="1">
      <alignment vertical="top" wrapText="1"/>
    </xf>
    <xf numFmtId="0" fontId="34" fillId="0" borderId="0" xfId="719"/>
    <xf numFmtId="0" fontId="34" fillId="0" borderId="0" xfId="719" applyNumberFormat="1" applyAlignment="1">
      <alignment vertical="top"/>
    </xf>
    <xf numFmtId="0" fontId="34" fillId="0" borderId="0" xfId="719" applyAlignment="1">
      <alignment vertical="top"/>
    </xf>
    <xf numFmtId="0" fontId="34" fillId="0" borderId="0" xfId="719" applyAlignment="1">
      <alignment vertical="top" wrapText="1"/>
    </xf>
    <xf numFmtId="0" fontId="37" fillId="0" borderId="0" xfId="0" applyFont="1"/>
    <xf numFmtId="0" fontId="0" fillId="0" borderId="0" xfId="0" applyAlignment="1">
      <alignment vertical="top"/>
    </xf>
    <xf numFmtId="0" fontId="38" fillId="0" borderId="0" xfId="0" applyFont="1" applyAlignment="1">
      <alignment vertical="top"/>
    </xf>
    <xf numFmtId="0" fontId="32" fillId="0" borderId="0" xfId="719" applyFont="1"/>
    <xf numFmtId="0" fontId="34" fillId="0" borderId="0" xfId="719" applyFill="1" applyAlignment="1">
      <alignment vertical="top" wrapText="1"/>
    </xf>
    <xf numFmtId="0" fontId="34" fillId="0" borderId="0" xfId="719" applyNumberFormat="1" applyFill="1"/>
    <xf numFmtId="0" fontId="0" fillId="0" borderId="0" xfId="0" applyNumberFormat="1" applyAlignment="1">
      <alignment vertical="top"/>
    </xf>
    <xf numFmtId="0" fontId="34" fillId="0" borderId="0" xfId="719" applyNumberFormat="1" applyFill="1" applyAlignment="1">
      <alignment vertical="top"/>
    </xf>
    <xf numFmtId="0" fontId="31" fillId="0" borderId="0" xfId="719" applyFont="1" applyAlignment="1">
      <alignment vertical="top"/>
    </xf>
    <xf numFmtId="0" fontId="31" fillId="0" borderId="0" xfId="719" applyFont="1" applyAlignment="1">
      <alignment vertical="top" wrapText="1"/>
    </xf>
    <xf numFmtId="0" fontId="30" fillId="0" borderId="0" xfId="719" applyFont="1" applyAlignment="1">
      <alignment vertical="top"/>
    </xf>
    <xf numFmtId="0" fontId="30" fillId="0" borderId="0" xfId="719" applyFont="1" applyAlignment="1">
      <alignment vertical="top" wrapText="1"/>
    </xf>
    <xf numFmtId="0" fontId="29" fillId="0" borderId="0" xfId="719" applyNumberFormat="1" applyFont="1" applyAlignment="1">
      <alignment vertical="top"/>
    </xf>
    <xf numFmtId="0" fontId="27" fillId="0" borderId="0" xfId="719" applyNumberFormat="1" applyFont="1" applyAlignment="1">
      <alignment vertical="top"/>
    </xf>
    <xf numFmtId="0" fontId="27" fillId="0" borderId="0" xfId="719" applyNumberFormat="1" applyFont="1" applyFill="1" applyAlignment="1">
      <alignment vertical="top"/>
    </xf>
    <xf numFmtId="0" fontId="26" fillId="0" borderId="0" xfId="719" applyNumberFormat="1" applyFont="1" applyAlignment="1">
      <alignment vertical="top"/>
    </xf>
    <xf numFmtId="0" fontId="24" fillId="0" borderId="0" xfId="719" applyFont="1" applyAlignment="1">
      <alignment vertical="top"/>
    </xf>
    <xf numFmtId="0" fontId="23" fillId="0" borderId="0" xfId="719" applyFont="1" applyAlignment="1">
      <alignment vertical="top"/>
    </xf>
    <xf numFmtId="0" fontId="22" fillId="0" borderId="0" xfId="719" applyFont="1" applyAlignment="1">
      <alignment vertical="top"/>
    </xf>
    <xf numFmtId="0" fontId="22" fillId="0" borderId="0" xfId="719" applyNumberFormat="1" applyFont="1" applyFill="1" applyAlignment="1">
      <alignment vertical="top"/>
    </xf>
    <xf numFmtId="0" fontId="21" fillId="0" borderId="0" xfId="719" applyFont="1" applyAlignment="1">
      <alignment vertical="top"/>
    </xf>
    <xf numFmtId="0" fontId="20" fillId="0" borderId="0" xfId="719" applyFont="1"/>
    <xf numFmtId="0" fontId="20" fillId="0" borderId="0" xfId="719" applyFont="1" applyAlignment="1">
      <alignment vertical="top"/>
    </xf>
    <xf numFmtId="0" fontId="20" fillId="0" borderId="0" xfId="719" applyNumberFormat="1" applyFont="1" applyAlignment="1">
      <alignment vertical="top"/>
    </xf>
    <xf numFmtId="0" fontId="20" fillId="0" borderId="0" xfId="719" applyNumberFormat="1" applyFont="1" applyFill="1" applyAlignment="1">
      <alignment vertical="top"/>
    </xf>
    <xf numFmtId="0" fontId="39" fillId="0" borderId="0" xfId="719" applyNumberFormat="1" applyFont="1" applyFill="1" applyAlignment="1">
      <alignment vertical="top"/>
    </xf>
    <xf numFmtId="0" fontId="20" fillId="0" borderId="0" xfId="719" applyFont="1" applyFill="1"/>
    <xf numFmtId="0" fontId="19" fillId="0" borderId="0" xfId="719" applyFont="1" applyAlignment="1">
      <alignment vertical="top"/>
    </xf>
    <xf numFmtId="0" fontId="19" fillId="0" borderId="0" xfId="719" applyFont="1" applyAlignment="1">
      <alignment vertical="top" wrapText="1"/>
    </xf>
    <xf numFmtId="0" fontId="18" fillId="0" borderId="0" xfId="719" applyFont="1" applyAlignment="1">
      <alignment vertical="top"/>
    </xf>
    <xf numFmtId="0" fontId="18" fillId="0" borderId="0" xfId="719" applyFont="1" applyFill="1"/>
    <xf numFmtId="0" fontId="18" fillId="0" borderId="0" xfId="719" applyNumberFormat="1" applyFont="1" applyFill="1" applyAlignment="1">
      <alignment vertical="top"/>
    </xf>
    <xf numFmtId="0" fontId="17" fillId="0" borderId="0" xfId="719" applyFont="1" applyAlignment="1">
      <alignment vertical="top"/>
    </xf>
    <xf numFmtId="0" fontId="17" fillId="0" borderId="0" xfId="719" applyFont="1" applyFill="1"/>
    <xf numFmtId="0" fontId="17" fillId="0" borderId="0" xfId="719" applyNumberFormat="1" applyFont="1" applyFill="1" applyAlignment="1">
      <alignment vertical="top"/>
    </xf>
    <xf numFmtId="0" fontId="16" fillId="0" borderId="0" xfId="719" applyFont="1" applyAlignment="1">
      <alignment vertical="top"/>
    </xf>
    <xf numFmtId="0" fontId="15" fillId="0" borderId="0" xfId="719" applyFont="1"/>
    <xf numFmtId="0" fontId="15" fillId="0" borderId="0" xfId="719" applyFont="1" applyAlignment="1">
      <alignment vertical="top"/>
    </xf>
    <xf numFmtId="0" fontId="15" fillId="0" borderId="0" xfId="719" applyNumberFormat="1" applyFont="1" applyAlignment="1">
      <alignment vertical="top"/>
    </xf>
    <xf numFmtId="0" fontId="15" fillId="0" borderId="0" xfId="719" applyFont="1" applyAlignment="1">
      <alignment vertical="top" wrapText="1"/>
    </xf>
    <xf numFmtId="0" fontId="15" fillId="0" borderId="0" xfId="719" applyNumberFormat="1" applyFont="1" applyFill="1" applyAlignment="1">
      <alignment vertical="top"/>
    </xf>
    <xf numFmtId="0" fontId="15" fillId="0" borderId="0" xfId="719" applyFont="1" applyFill="1"/>
    <xf numFmtId="0" fontId="14" fillId="0" borderId="0" xfId="719" applyFont="1"/>
    <xf numFmtId="0" fontId="14" fillId="0" borderId="0" xfId="719" applyFont="1" applyAlignment="1">
      <alignment vertical="top"/>
    </xf>
    <xf numFmtId="0" fontId="14" fillId="0" borderId="0" xfId="719" applyNumberFormat="1" applyFont="1" applyFill="1" applyAlignment="1">
      <alignment vertical="top"/>
    </xf>
    <xf numFmtId="0" fontId="14" fillId="0" borderId="0" xfId="719" applyFont="1" applyAlignment="1">
      <alignment vertical="top" wrapText="1"/>
    </xf>
    <xf numFmtId="0" fontId="14" fillId="0" borderId="0" xfId="719" applyFont="1" applyFill="1"/>
    <xf numFmtId="0" fontId="14" fillId="0" borderId="0" xfId="719" applyNumberFormat="1" applyFont="1" applyAlignment="1">
      <alignment vertical="top"/>
    </xf>
    <xf numFmtId="0" fontId="13" fillId="0" borderId="0" xfId="719" applyFont="1" applyAlignment="1">
      <alignment vertical="top"/>
    </xf>
    <xf numFmtId="0" fontId="13" fillId="0" borderId="0" xfId="719" applyFont="1" applyAlignment="1">
      <alignment vertical="top" wrapText="1"/>
    </xf>
    <xf numFmtId="0" fontId="13" fillId="0" borderId="0" xfId="719" applyNumberFormat="1" applyFont="1" applyFill="1" applyAlignment="1">
      <alignment vertical="top"/>
    </xf>
    <xf numFmtId="0" fontId="37" fillId="0" borderId="0" xfId="0" applyFont="1" applyAlignment="1">
      <alignment vertical="top"/>
    </xf>
    <xf numFmtId="0" fontId="33" fillId="0" borderId="0" xfId="719" applyFont="1" applyAlignment="1">
      <alignment vertical="top"/>
    </xf>
    <xf numFmtId="0" fontId="12" fillId="0" borderId="0" xfId="719" applyFont="1" applyAlignment="1">
      <alignment vertical="top" wrapText="1"/>
    </xf>
    <xf numFmtId="0" fontId="12" fillId="0" borderId="0" xfId="719" applyFont="1" applyAlignment="1">
      <alignment vertical="top"/>
    </xf>
    <xf numFmtId="0" fontId="12" fillId="0" borderId="0" xfId="719" applyNumberFormat="1" applyFont="1" applyAlignment="1">
      <alignment vertical="top"/>
    </xf>
    <xf numFmtId="0" fontId="12" fillId="0" borderId="0" xfId="719" applyNumberFormat="1" applyFont="1" applyFill="1" applyAlignment="1">
      <alignment vertical="top"/>
    </xf>
    <xf numFmtId="0" fontId="11" fillId="0" borderId="0" xfId="719" applyFont="1" applyAlignment="1">
      <alignment vertical="top"/>
    </xf>
    <xf numFmtId="0" fontId="10" fillId="0" borderId="0" xfId="719" applyFont="1" applyAlignment="1">
      <alignment vertical="top"/>
    </xf>
    <xf numFmtId="0" fontId="10" fillId="0" borderId="0" xfId="719" applyFont="1" applyAlignment="1">
      <alignment vertical="top" wrapText="1"/>
    </xf>
    <xf numFmtId="0" fontId="10" fillId="0" borderId="0" xfId="719" applyNumberFormat="1" applyFont="1" applyFill="1" applyAlignment="1">
      <alignment vertical="top"/>
    </xf>
    <xf numFmtId="0" fontId="34" fillId="0" borderId="0" xfId="719" applyNumberFormat="1" applyAlignment="1">
      <alignment vertical="top" wrapText="1"/>
    </xf>
    <xf numFmtId="0" fontId="10" fillId="0" borderId="0" xfId="719" applyNumberFormat="1" applyFont="1" applyAlignment="1">
      <alignment vertical="top" wrapText="1"/>
    </xf>
    <xf numFmtId="0" fontId="10" fillId="0" borderId="0" xfId="719" applyNumberFormat="1" applyFont="1" applyAlignment="1">
      <alignment vertical="top"/>
    </xf>
    <xf numFmtId="0" fontId="9" fillId="0" borderId="0" xfId="719" applyFont="1" applyFill="1"/>
    <xf numFmtId="0" fontId="9" fillId="0" borderId="0" xfId="719" applyFont="1" applyAlignment="1">
      <alignment vertical="top"/>
    </xf>
    <xf numFmtId="0" fontId="8" fillId="0" borderId="0" xfId="719" applyFont="1" applyAlignment="1">
      <alignment vertical="top"/>
    </xf>
    <xf numFmtId="0" fontId="8" fillId="0" borderId="0" xfId="719" applyNumberFormat="1" applyFont="1" applyAlignment="1">
      <alignment vertical="top" wrapText="1"/>
    </xf>
    <xf numFmtId="0" fontId="8" fillId="0" borderId="0" xfId="719" applyNumberFormat="1" applyFont="1" applyFill="1" applyAlignment="1">
      <alignment vertical="top"/>
    </xf>
    <xf numFmtId="0" fontId="8" fillId="0" borderId="0" xfId="719" applyFont="1" applyAlignment="1">
      <alignment vertical="top" wrapText="1"/>
    </xf>
    <xf numFmtId="0" fontId="8" fillId="0" borderId="0" xfId="719" applyFont="1" applyFill="1"/>
    <xf numFmtId="0" fontId="7" fillId="0" borderId="0" xfId="719" applyFont="1" applyAlignment="1">
      <alignment vertical="top"/>
    </xf>
    <xf numFmtId="0" fontId="7" fillId="0" borderId="0" xfId="719" applyNumberFormat="1" applyFont="1" applyFill="1" applyAlignment="1">
      <alignment vertical="top"/>
    </xf>
    <xf numFmtId="0" fontId="7" fillId="0" borderId="0" xfId="719" applyFont="1"/>
    <xf numFmtId="0" fontId="6" fillId="0" borderId="0" xfId="719" applyFont="1" applyAlignment="1">
      <alignment vertical="top"/>
    </xf>
    <xf numFmtId="0" fontId="5" fillId="0" borderId="0" xfId="719" applyFont="1" applyAlignment="1">
      <alignment vertical="top"/>
    </xf>
    <xf numFmtId="0" fontId="4" fillId="0" borderId="0" xfId="719" applyFont="1" applyAlignment="1">
      <alignment vertical="top"/>
    </xf>
    <xf numFmtId="0" fontId="3" fillId="0" borderId="0" xfId="719" applyFont="1" applyAlignment="1">
      <alignment vertical="top"/>
    </xf>
    <xf numFmtId="0" fontId="3" fillId="0" borderId="0" xfId="719" applyFont="1" applyAlignment="1">
      <alignment vertical="top" wrapText="1"/>
    </xf>
    <xf numFmtId="0" fontId="3" fillId="0" borderId="0" xfId="719" applyNumberFormat="1" applyFont="1" applyFill="1" applyAlignment="1">
      <alignment vertical="top"/>
    </xf>
    <xf numFmtId="0" fontId="3" fillId="0" borderId="0" xfId="719" applyNumberFormat="1" applyFont="1" applyAlignment="1">
      <alignment vertical="top" wrapText="1"/>
    </xf>
    <xf numFmtId="0" fontId="2" fillId="0" borderId="0" xfId="719" applyFont="1" applyAlignment="1">
      <alignment vertical="top"/>
    </xf>
    <xf numFmtId="0" fontId="2" fillId="0" borderId="0" xfId="719" applyFont="1" applyFill="1"/>
    <xf numFmtId="0" fontId="1" fillId="0" borderId="0" xfId="719" applyFont="1" applyAlignment="1">
      <alignment vertical="top"/>
    </xf>
    <xf numFmtId="0" fontId="1" fillId="0" borderId="0" xfId="719" applyNumberFormat="1" applyFont="1" applyAlignment="1">
      <alignment vertical="top" wrapText="1"/>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xr:uid="{00000000-0005-0000-0000-0000CF020000}"/>
    <cellStyle name="Normal 2 2" xfId="720" xr:uid="{00000000-0005-0000-0000-0000D0020000}"/>
    <cellStyle name="Normal 3" xfId="721" xr:uid="{00000000-0005-0000-0000-0000D1020000}"/>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Y180" totalsRowShown="0" headerRowDxfId="49" dataDxfId="48">
  <autoFilter ref="A1:Y180" xr:uid="{00000000-0009-0000-0100-000001000000}"/>
  <tableColumns count="25">
    <tableColumn id="1" xr3:uid="{00000000-0010-0000-0000-000001000000}" name="!Table" dataDxfId="47"/>
    <tableColumn id="2" xr3:uid="{00000000-0010-0000-0000-000002000000}" name="!Type" dataDxfId="46"/>
    <tableColumn id="6" xr3:uid="{00000000-0010-0000-0000-000006000000}" name="!Length" dataDxfId="45"/>
    <tableColumn id="3" xr3:uid="{00000000-0010-0000-0000-000003000000}" name="!Name" dataDxfId="44"/>
    <tableColumn id="4" xr3:uid="{00000000-0010-0000-0000-000004000000}" name="!Description" dataDxfId="43"/>
    <tableColumn id="7" xr3:uid="{00000000-0010-0000-0000-000007000000}" name="!FK" dataDxfId="42"/>
    <tableColumn id="10" xr3:uid="{00000000-0010-0000-0000-00000A000000}" name="!Required" dataDxfId="41" dataCellStyle="Normal 2"/>
    <tableColumn id="21" xr3:uid="{00000000-0010-0000-0000-000015000000}" name="!Unique" dataDxfId="40" dataCellStyle="Normal 2"/>
    <tableColumn id="9" xr3:uid="{00000000-0010-0000-0000-000009000000}" name="File" dataDxfId="39">
      <calculatedColumnFormula>IF(LEN(A2) &gt; 0,"Defs","-")</calculatedColumnFormula>
    </tableColumn>
    <tableColumn id="5" xr3:uid="{00000000-0010-0000-0000-000005000000}" name="boolean" dataDxfId="38">
      <calculatedColumnFormula>IF(Table2[[#This Row],[!Type]]=J$1, J$1,"rg:None")</calculatedColumnFormula>
    </tableColumn>
    <tableColumn id="24" xr3:uid="{00000000-0010-0000-0000-000018000000}" name="binary" dataDxfId="37">
      <calculatedColumnFormula>IF(Table2[[#This Row],[!Type]]=K$1, K$1,"rg:None")</calculatedColumnFormula>
    </tableColumn>
    <tableColumn id="8" xr3:uid="{00000000-0010-0000-0000-000008000000}" name="datetime" dataDxfId="36">
      <calculatedColumnFormula>IF(Table2[[#This Row],[!Type]]=L$1, L$1,"rg:None")</calculatedColumnFormula>
    </tableColumn>
    <tableColumn id="11" xr3:uid="{00000000-0010-0000-0000-00000B000000}" name="id" dataDxfId="35">
      <calculatedColumnFormula>IF(Table2[[#This Row],[!Type]]=M$1, M$1,"rg:None")</calculatedColumnFormula>
    </tableColumn>
    <tableColumn id="12" xr3:uid="{00000000-0010-0000-0000-00000C000000}" name="integer" dataDxfId="34">
      <calculatedColumnFormula>IF(Table2[[#This Row],[!Type]]=N$1, N$1,"rg:None")</calculatedColumnFormula>
    </tableColumn>
    <tableColumn id="25" xr3:uid="{00000000-0010-0000-0000-000019000000}" name="float" dataDxfId="33">
      <calculatedColumnFormula>IF(Table2[[#This Row],[!Type]]=O$1, O$1,"rg:None")</calculatedColumnFormula>
    </tableColumn>
    <tableColumn id="13" xr3:uid="{00000000-0010-0000-0000-00000D000000}" name="links" dataDxfId="32">
      <calculatedColumnFormula>IF(Table2[[#This Row],[!Type]]=P$1, P$1,"rg:None")</calculatedColumnFormula>
    </tableColumn>
    <tableColumn id="14" xr3:uid="{00000000-0010-0000-0000-00000E000000}" name="ref" dataDxfId="31">
      <calculatedColumnFormula>IF(Table2[[#This Row],[!Type]]=Q$1, Q$1,"rg:None")</calculatedColumnFormula>
    </tableColumn>
    <tableColumn id="15" xr3:uid="{00000000-0010-0000-0000-00000F000000}" name="string" dataDxfId="30">
      <calculatedColumnFormula>IF(Table2[[#This Row],[!Type]]=R$1, R$1,"rg:None")</calculatedColumnFormula>
    </tableColumn>
    <tableColumn id="16" xr3:uid="{00000000-0010-0000-0000-000010000000}" name="table" dataDxfId="29">
      <calculatedColumnFormula>IF(Table2[[#This Row],[!Type]]=S$1, S$1,"rg:None")</calculatedColumnFormula>
    </tableColumn>
    <tableColumn id="17" xr3:uid="{00000000-0010-0000-0000-000011000000}" name="Length" dataDxfId="28">
      <calculatedColumnFormula>IF(LEN(Table2[[#This Row],[!Length]]) &gt; 0, Table2[[#This Row],[!Length]], "rg:None")</calculatedColumnFormula>
    </tableColumn>
    <tableColumn id="18" xr3:uid="{00000000-0010-0000-0000-000012000000}" name="Name" dataDxfId="27">
      <calculatedColumnFormula>IF(LEN(Table2[[#This Row],[!Name]]) &gt; 0, Table2[[#This Row],[!Name]], "rg:None")</calculatedColumnFormula>
    </tableColumn>
    <tableColumn id="19" xr3:uid="{00000000-0010-0000-0000-000013000000}" name="Description" dataDxfId="26">
      <calculatedColumnFormula>IF(LEN(Table2[[#This Row],[!Description]]) &gt; 0, Table2[[#This Row],[!Description]], "rg:None")</calculatedColumnFormula>
    </tableColumn>
    <tableColumn id="20" xr3:uid="{00000000-0010-0000-0000-000014000000}" name="RefDef" dataDxfId="25">
      <calculatedColumnFormula>IF(LEN(Table2[[#This Row],[!FK]])&gt;0,Table2[[#This Row],[!FK]],"rg:None")</calculatedColumnFormula>
    </tableColumn>
    <tableColumn id="22" xr3:uid="{00000000-0010-0000-0000-000016000000}" name="Required" dataDxfId="24">
      <calculatedColumnFormula>IF(LEN(concatif2(A:A,Table2[[#This Row],[!Table]],G:G,"Y",D:D,",")) &gt; 0,"rg:[ { 'req' : '"&amp;concatif2(A:A,Table2[[#This Row],[!Table]],G:G,"Y",D:D,"' }, { 'req': '")&amp;"'} ]","rg:[]")</calculatedColumnFormula>
    </tableColumn>
    <tableColumn id="23" xr3:uid="{00000000-0010-0000-0000-000017000000}"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3" displayName="Table23" ref="A1:V24" totalsRowShown="0" headerRowDxfId="22" dataDxfId="21">
  <autoFilter ref="A1:V24" xr:uid="{00000000-0009-0000-0100-000002000000}"/>
  <tableColumns count="22">
    <tableColumn id="1" xr3:uid="{00000000-0010-0000-0100-000001000000}" name="!type" dataDxfId="20"/>
    <tableColumn id="2" xr3:uid="{00000000-0010-0000-0100-000002000000}" name="!path" dataDxfId="19"/>
    <tableColumn id="6" xr3:uid="{00000000-0010-0000-0100-000006000000}" name="!tag" dataCellStyle="Normal 2"/>
    <tableColumn id="3" xr3:uid="{00000000-0010-0000-0100-000003000000}" name="!paramDef" dataDxfId="18">
      <calculatedColumnFormula>LOWER(Table23[[#This Row],[!path]])&amp;"s"</calculatedColumnFormula>
    </tableColumn>
    <tableColumn id="21" xr3:uid="{00000000-0010-0000-0100-000015000000}" name="!permission" dataDxfId="17" dataCellStyle="Normal 2"/>
    <tableColumn id="4" xr3:uid="{00000000-0010-0000-0100-000004000000}" name="!respDef" dataDxfId="16" dataCellStyle="Normal 2"/>
    <tableColumn id="5" xr3:uid="{00000000-0010-0000-0100-000005000000}" name="!Description" dataDxfId="15" dataCellStyle="Normal 2"/>
    <tableColumn id="7" xr3:uid="{00000000-0010-0000-0100-000007000000}" name="File" dataDxfId="14">
      <calculatedColumnFormula>IF(LEN(A2) &gt;0,"Path","-")</calculatedColumnFormula>
    </tableColumn>
    <tableColumn id="8" xr3:uid="{00000000-0010-0000-0100-000008000000}" name="crud" dataDxfId="13">
      <calculatedColumnFormula>IF(LEN(Table23[[#This Row],[!type]])&gt;0,IF(Table23[[#This Row],[!type]]=I$1,"1","rg:None"),"-")</calculatedColumnFormula>
    </tableColumn>
    <tableColumn id="9" xr3:uid="{00000000-0010-0000-0100-000009000000}" name="post" dataDxfId="12">
      <calculatedColumnFormula>IF(LEN(Table23[[#This Row],[!type]])&gt;0,IF(Table23[[#This Row],[!type]]=J$1,"1","rg:None"),"-")</calculatedColumnFormula>
    </tableColumn>
    <tableColumn id="10" xr3:uid="{00000000-0010-0000-0100-00000A000000}" name="bulk" dataDxfId="11">
      <calculatedColumnFormula>IF(LEN(Table23[[#This Row],[!type]])&gt;0,IF(Table23[[#This Row],[!type]]=K$1,"1","rg:None"),"-")</calculatedColumnFormula>
    </tableColumn>
    <tableColumn id="11" xr3:uid="{00000000-0010-0000-0100-00000B000000}" name="getById" dataDxfId="10">
      <calculatedColumnFormula>IF(LEN(Table23[[#This Row],[!type]])&gt;0,IF(Table23[[#This Row],[!type]]=L$1,"1","rg:None"),"-")</calculatedColumnFormula>
    </tableColumn>
    <tableColumn id="12" xr3:uid="{00000000-0010-0000-0100-00000C000000}" name="putById" dataDxfId="9">
      <calculatedColumnFormula>IF(LEN(Table23[[#This Row],[!type]])&gt;0,IF(Table23[[#This Row],[!type]]=M$1,"1","rg:None"),"-")</calculatedColumnFormula>
    </tableColumn>
    <tableColumn id="13" xr3:uid="{00000000-0010-0000-0100-00000D000000}" name="deleteById" dataDxfId="8">
      <calculatedColumnFormula>IF(LEN(Table23[[#This Row],[!type]])&gt;0,IF(Table23[[#This Row],[!type]]=N$1,"1","rg:None"),"-")</calculatedColumnFormula>
    </tableColumn>
    <tableColumn id="14" xr3:uid="{00000000-0010-0000-0100-00000E000000}" name="fullpath" dataDxfId="7">
      <calculatedColumnFormula>IF(LEN(Table23[[#This Row],[!type]])&gt;0,IF(Table23[[#This Row],[!type]]=O$1,"1","rg:None"),"-")</calculatedColumnFormula>
    </tableColumn>
    <tableColumn id="15" xr3:uid="{00000000-0010-0000-0100-00000F000000}" name="idpath" dataDxfId="6">
      <calculatedColumnFormula>IF(LEN(Table23[[#This Row],[!type]])&gt;0,IF(Table23[[#This Row],[!type]]=P$1,"1","rg:None"),"-")</calculatedColumnFormula>
    </tableColumn>
    <tableColumn id="16" xr3:uid="{00000000-0010-0000-0100-000010000000}" name="path" dataDxfId="5">
      <calculatedColumnFormula>IF(LEN(Table23[[#This Row],[!path]]) &gt;0,Table23[[#This Row],[!path]],"rg:None")</calculatedColumnFormula>
    </tableColumn>
    <tableColumn id="17" xr3:uid="{00000000-0010-0000-0100-000011000000}" name="tag" dataDxfId="4">
      <calculatedColumnFormula>IF(LEN(Table23[[#This Row],[!tag]]) &gt;0,Table23[[#This Row],[!tag]],"rg:None")</calculatedColumnFormula>
    </tableColumn>
    <tableColumn id="18" xr3:uid="{00000000-0010-0000-0100-000012000000}" name="paramDef" dataDxfId="3">
      <calculatedColumnFormula>IF(LEN(Table23[[#This Row],[!paramDef]]) &gt;0,Table23[[#This Row],[!paramDef]],"rg:None")</calculatedColumnFormula>
    </tableColumn>
    <tableColumn id="19" xr3:uid="{00000000-0010-0000-0100-000013000000}" name="respDef" dataDxfId="2">
      <calculatedColumnFormula>IF(LEN(Table23[[#This Row],[!respDef]]) &gt;0,Table23[[#This Row],[!respDef]],"rg:None")</calculatedColumnFormula>
    </tableColumn>
    <tableColumn id="20" xr3:uid="{00000000-0010-0000-0100-000014000000}" name="Description" dataDxfId="1">
      <calculatedColumnFormula>IF(LEN(Table23[[#This Row],[!Description]]) &gt;0,Table23[[#This Row],[!Description]],"rg:None")</calculatedColumnFormula>
    </tableColumn>
    <tableColumn id="22" xr3:uid="{00000000-0010-0000-0100-000016000000}"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Y180"/>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3.19921875" style="5" bestFit="1" customWidth="1"/>
    <col min="2" max="2" width="8.69921875" style="5"/>
    <col min="3" max="3" width="8.09765625" style="5" customWidth="1"/>
    <col min="4" max="4" width="24.5" style="6" bestFit="1" customWidth="1"/>
    <col min="5" max="5" width="42" style="6" customWidth="1"/>
    <col min="6" max="6" width="23.19921875" style="5" bestFit="1" customWidth="1"/>
    <col min="7" max="7" width="10.3984375" style="5" bestFit="1" customWidth="1"/>
    <col min="8" max="8" width="9" style="5" bestFit="1" customWidth="1"/>
    <col min="9" max="9" width="8.19921875" style="5" hidden="1" customWidth="1"/>
    <col min="10" max="22" width="8.69921875" style="5" hidden="1" customWidth="1"/>
    <col min="23" max="23" width="8.69921875" style="8" hidden="1" customWidth="1"/>
    <col min="24" max="24" width="8.69921875" style="5" hidden="1" customWidth="1"/>
    <col min="25" max="25" width="9" style="8" hidden="1" customWidth="1"/>
    <col min="26" max="16384" width="8.69921875" style="5"/>
  </cols>
  <sheetData>
    <row r="1" spans="1:25" s="1" customFormat="1" x14ac:dyDescent="0.3">
      <c r="A1" s="1" t="s">
        <v>65</v>
      </c>
      <c r="B1" s="1" t="s">
        <v>66</v>
      </c>
      <c r="C1" s="1" t="s">
        <v>67</v>
      </c>
      <c r="D1" s="1" t="s">
        <v>68</v>
      </c>
      <c r="E1" s="2" t="s">
        <v>64</v>
      </c>
      <c r="F1" s="2" t="s">
        <v>69</v>
      </c>
      <c r="G1" s="1" t="s">
        <v>43</v>
      </c>
      <c r="H1" s="1" t="s">
        <v>79</v>
      </c>
      <c r="I1" s="58" t="s">
        <v>41</v>
      </c>
      <c r="J1" s="9" t="s">
        <v>10</v>
      </c>
      <c r="K1" s="9" t="s">
        <v>81</v>
      </c>
      <c r="L1" s="9" t="s">
        <v>11</v>
      </c>
      <c r="M1" s="9" t="s">
        <v>6</v>
      </c>
      <c r="N1" s="9" t="s">
        <v>12</v>
      </c>
      <c r="O1" s="9" t="s">
        <v>82</v>
      </c>
      <c r="P1" s="9" t="s">
        <v>20</v>
      </c>
      <c r="Q1" s="9" t="s">
        <v>8</v>
      </c>
      <c r="R1" s="9" t="s">
        <v>7</v>
      </c>
      <c r="S1" s="9" t="s">
        <v>4</v>
      </c>
      <c r="T1" s="9" t="s">
        <v>2</v>
      </c>
      <c r="U1" s="9" t="s">
        <v>3</v>
      </c>
      <c r="V1" s="9" t="s">
        <v>1</v>
      </c>
      <c r="W1" s="9" t="s">
        <v>70</v>
      </c>
      <c r="X1" s="9" t="s">
        <v>42</v>
      </c>
      <c r="Y1" s="9" t="s">
        <v>80</v>
      </c>
    </row>
    <row r="2" spans="1:25" s="4" customFormat="1" ht="72" customHeight="1" x14ac:dyDescent="0.3">
      <c r="A2" s="29" t="s">
        <v>125</v>
      </c>
      <c r="B2" s="5" t="s">
        <v>4</v>
      </c>
      <c r="C2" s="5"/>
      <c r="D2" s="29" t="s">
        <v>125</v>
      </c>
      <c r="E2" s="66" t="s">
        <v>215</v>
      </c>
      <c r="F2" s="5" t="s">
        <v>5</v>
      </c>
      <c r="I2" s="8" t="str">
        <f t="shared" ref="I2:I9" si="0">IF(LEN(A2) &gt; 0,"Defs","-")</f>
        <v>Defs</v>
      </c>
      <c r="J2" s="8" t="str">
        <f>IF(Table2[[#This Row],[!Type]]=J$1, J$1,"rg:None")</f>
        <v>rg:None</v>
      </c>
      <c r="K2" s="8" t="str">
        <f>IF(Table2[[#This Row],[!Type]]=K$1, K$1,"rg:None")</f>
        <v>rg:None</v>
      </c>
      <c r="L2" s="8" t="str">
        <f>IF(Table2[[#This Row],[!Type]]=L$1, L$1,"rg:None")</f>
        <v>rg:None</v>
      </c>
      <c r="M2" s="8" t="str">
        <f>IF(Table2[[#This Row],[!Type]]=M$1, M$1,"rg:None")</f>
        <v>rg:None</v>
      </c>
      <c r="N2" s="8" t="str">
        <f>IF(Table2[[#This Row],[!Type]]=N$1, N$1,"rg:None")</f>
        <v>rg:None</v>
      </c>
      <c r="O2" s="8" t="str">
        <f>IF(Table2[[#This Row],[!Type]]=O$1, O$1,"rg:None")</f>
        <v>rg:None</v>
      </c>
      <c r="P2" s="8" t="str">
        <f>IF(Table2[[#This Row],[!Type]]=P$1, P$1,"rg:None")</f>
        <v>rg:None</v>
      </c>
      <c r="Q2" s="8" t="str">
        <f>IF(Table2[[#This Row],[!Type]]=Q$1, Q$1,"rg:None")</f>
        <v>rg:None</v>
      </c>
      <c r="R2" s="8" t="str">
        <f>IF(Table2[[#This Row],[!Type]]=R$1, R$1,"rg:None")</f>
        <v>rg:None</v>
      </c>
      <c r="S2" s="8" t="str">
        <f>IF(Table2[[#This Row],[!Type]]=S$1, S$1,"rg:None")</f>
        <v>table</v>
      </c>
      <c r="T2" s="8" t="str">
        <f>IF(LEN(Table2[[#This Row],[!Length]]) &gt; 0, Table2[[#This Row],[!Length]], "rg:None")</f>
        <v>rg:None</v>
      </c>
      <c r="U2" s="8" t="str">
        <f>IF(LEN(Table2[[#This Row],[!Name]]) &gt; 0, Table2[[#This Row],[!Name]], "rg:None")</f>
        <v>CreditTrade</v>
      </c>
      <c r="V2" s="8" t="str">
        <f>IF(LEN(Table2[[#This Row],[!Description]]) &gt; 0, Table2[[#This Row],[!Description]], "rg:None")</f>
        <v>A transaction that if completed changes the number of Low-Carbon Fuel Credits owned by a Fuel Supplier. The transfer of Credits may involve the BC Gov't (an award or retirement of Credits) or another Fuel Supplier (a Buy or Sell).</v>
      </c>
      <c r="W2" s="8" t="str">
        <f>IF(LEN(Table2[[#This Row],[!FK]])&gt;0,Table2[[#This Row],[!FK]],"rg:None")</f>
        <v>rg:None</v>
      </c>
      <c r="X2" s="8" t="str">
        <f>IF(LEN(concatif2(A:A,Table2[[#This Row],[!Table]],G:G,"Y",D:D,",")) &gt; 0,"rg:[ { 'req' : '"&amp;concatif2(A:A,Table2[[#This Row],[!Table]],G:G,"Y",D:D,"' }, { 'req': '")&amp;"'} ]","rg:[]")</f>
        <v>rg:[ { 'req' : 'id' }, { 'req': 'creditTradeStatusFK' }, { 'req': 'respondentFK' }, { 'req': 'creditTradeTypeFK' }, { 'req': 'numberOfCredits'} ]</v>
      </c>
      <c r="Y2" s="8" t="str">
        <f>IF(LEN(Table2[[#This Row],[!Unique]])&gt;0,IF(Table2[[#This Row],[!Type]] = "id", "rg:None","rg:True"),"rg:None")</f>
        <v>rg:None</v>
      </c>
    </row>
    <row r="3" spans="1:25" s="4" customFormat="1" ht="28.8" x14ac:dyDescent="0.3">
      <c r="A3" s="29" t="s">
        <v>125</v>
      </c>
      <c r="B3" s="5" t="s">
        <v>6</v>
      </c>
      <c r="C3" s="5"/>
      <c r="D3" s="5" t="s">
        <v>6</v>
      </c>
      <c r="E3" s="66" t="s">
        <v>217</v>
      </c>
      <c r="F3" s="5" t="s">
        <v>5</v>
      </c>
      <c r="G3" s="4" t="s">
        <v>38</v>
      </c>
      <c r="H3" s="20" t="s">
        <v>38</v>
      </c>
      <c r="I3" s="5" t="str">
        <f t="shared" si="0"/>
        <v>Defs</v>
      </c>
      <c r="J3" s="8" t="str">
        <f>IF(Table2[[#This Row],[!Type]]=J$1, J$1,"rg:None")</f>
        <v>rg:None</v>
      </c>
      <c r="K3" s="8" t="str">
        <f>IF(Table2[[#This Row],[!Type]]=K$1, K$1,"rg:None")</f>
        <v>rg:None</v>
      </c>
      <c r="L3" s="8" t="str">
        <f>IF(Table2[[#This Row],[!Type]]=L$1, L$1,"rg:None")</f>
        <v>rg:None</v>
      </c>
      <c r="M3" s="8" t="str">
        <f>IF(Table2[[#This Row],[!Type]]=M$1, M$1,"rg:None")</f>
        <v>id</v>
      </c>
      <c r="N3" s="8" t="str">
        <f>IF(Table2[[#This Row],[!Type]]=N$1, N$1,"rg:None")</f>
        <v>rg:None</v>
      </c>
      <c r="O3" s="8"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8" t="str">
        <f>IF(LEN(Table2[[#This Row],[!Length]]) &gt; 0, Table2[[#This Row],[!Length]], "rg:None")</f>
        <v>rg:None</v>
      </c>
      <c r="U3" s="8" t="str">
        <f>IF(LEN(Table2[[#This Row],[!Name]]) &gt; 0, Table2[[#This Row],[!Name]], "rg:None")</f>
        <v>id</v>
      </c>
      <c r="V3" s="8" t="str">
        <f>IF(LEN(Table2[[#This Row],[!Description]]) &gt; 0, Table2[[#This Row],[!Description]], "rg:None")</f>
        <v>A system-generated unique identifier for a Credit Trade.</v>
      </c>
      <c r="W3" s="8" t="str">
        <f>IF(LEN(Table2[[#This Row],[!FK]])&gt;0,Table2[[#This Row],[!FK]],"rg:None")</f>
        <v>rg:None</v>
      </c>
      <c r="X3" s="8" t="str">
        <f>IF(LEN(concatif2(A:A,Table2[[#This Row],[!Table]],G:G,"Y",D:D,",")) &gt; 0,"rg:[ { 'req' : '"&amp;concatif2(A:A,Table2[[#This Row],[!Table]],G:G,"Y",D:D,"' }, { 'req': '")&amp;"'} ]","rg:[]")</f>
        <v>rg:[ { 'req' : 'id' }, { 'req': 'creditTradeStatusFK' }, { 'req': 'respondentFK' }, { 'req': 'creditTradeTypeFK' }, { 'req': 'numberOfCredits'} ]</v>
      </c>
      <c r="Y3" s="8" t="str">
        <f>IF(LEN(Table2[[#This Row],[!Unique]])&gt;0,IF(Table2[[#This Row],[!Type]] = "id", "rg:None","rg:True"),"rg:None")</f>
        <v>rg:None</v>
      </c>
    </row>
    <row r="4" spans="1:25" s="4" customFormat="1" ht="16.05" customHeight="1" x14ac:dyDescent="0.3">
      <c r="A4" s="29" t="s">
        <v>125</v>
      </c>
      <c r="B4" s="44" t="s">
        <v>8</v>
      </c>
      <c r="C4" s="5"/>
      <c r="D4" s="82" t="s">
        <v>321</v>
      </c>
      <c r="E4" s="66" t="s">
        <v>218</v>
      </c>
      <c r="F4" s="44" t="s">
        <v>134</v>
      </c>
      <c r="G4" s="45" t="s">
        <v>38</v>
      </c>
      <c r="H4" s="20"/>
      <c r="I4" s="5" t="str">
        <f t="shared" si="0"/>
        <v>Defs</v>
      </c>
      <c r="J4" s="8" t="str">
        <f>IF(Table2[[#This Row],[!Type]]=J$1, J$1,"rg:None")</f>
        <v>rg:None</v>
      </c>
      <c r="K4" s="8" t="str">
        <f>IF(Table2[[#This Row],[!Type]]=K$1, K$1,"rg:None")</f>
        <v>rg:None</v>
      </c>
      <c r="L4" s="8" t="str">
        <f>IF(Table2[[#This Row],[!Type]]=L$1, L$1,"rg:None")</f>
        <v>rg:None</v>
      </c>
      <c r="M4" s="8" t="str">
        <f>IF(Table2[[#This Row],[!Type]]=M$1, M$1,"rg:None")</f>
        <v>rg:None</v>
      </c>
      <c r="N4" s="8" t="str">
        <f>IF(Table2[[#This Row],[!Type]]=N$1, N$1,"rg:None")</f>
        <v>rg:None</v>
      </c>
      <c r="O4" s="8" t="str">
        <f>IF(Table2[[#This Row],[!Type]]=O$1, O$1,"rg:None")</f>
        <v>rg:None</v>
      </c>
      <c r="P4" s="5" t="str">
        <f>IF(Table2[[#This Row],[!Type]]=P$1, P$1,"rg:None")</f>
        <v>rg:None</v>
      </c>
      <c r="Q4" s="5" t="str">
        <f>IF(Table2[[#This Row],[!Type]]=Q$1, Q$1,"rg:None")</f>
        <v>ref</v>
      </c>
      <c r="R4" s="5" t="str">
        <f>IF(Table2[[#This Row],[!Type]]=R$1, R$1,"rg:None")</f>
        <v>rg:None</v>
      </c>
      <c r="S4" s="5" t="str">
        <f>IF(Table2[[#This Row],[!Type]]=S$1, S$1,"rg:None")</f>
        <v>rg:None</v>
      </c>
      <c r="T4" s="8" t="str">
        <f>IF(LEN(Table2[[#This Row],[!Length]]) &gt; 0, Table2[[#This Row],[!Length]], "rg:None")</f>
        <v>rg:None</v>
      </c>
      <c r="U4" s="8" t="str">
        <f>IF(LEN(Table2[[#This Row],[!Name]]) &gt; 0, Table2[[#This Row],[!Name]], "rg:None")</f>
        <v>creditTradeStatusFK</v>
      </c>
      <c r="V4" s="8" t="str">
        <f>IF(LEN(Table2[[#This Row],[!Description]]) &gt; 0, Table2[[#This Row],[!Description]], "rg:None")</f>
        <v>A foreign key reference to a CreditTradeStatus.</v>
      </c>
      <c r="W4" s="8" t="str">
        <f>IF(LEN(Table2[[#This Row],[!FK]])&gt;0,Table2[[#This Row],[!FK]],"rg:None")</f>
        <v>CreditTradeStatus</v>
      </c>
      <c r="X4" s="8" t="str">
        <f>IF(LEN(concatif2(A:A,Table2[[#This Row],[!Table]],G:G,"Y",D:D,",")) &gt; 0,"rg:[ { 'req' : '"&amp;concatif2(A:A,Table2[[#This Row],[!Table]],G:G,"Y",D:D,"' }, { 'req': '")&amp;"'} ]","rg:[]")</f>
        <v>rg:[ { 'req' : 'id' }, { 'req': 'creditTradeStatusFK' }, { 'req': 'respondentFK' }, { 'req': 'creditTradeTypeFK' }, { 'req': 'numberOfCredits'} ]</v>
      </c>
      <c r="Y4" s="8" t="str">
        <f>IF(LEN(Table2[[#This Row],[!Unique]])&gt;0,IF(Table2[[#This Row],[!Type]] = "id", "rg:None","rg:True"),"rg:None")</f>
        <v>rg:None</v>
      </c>
    </row>
    <row r="5" spans="1:25" s="4" customFormat="1" ht="43.2" customHeight="1" x14ac:dyDescent="0.3">
      <c r="A5" s="29" t="s">
        <v>125</v>
      </c>
      <c r="B5" s="29" t="s">
        <v>8</v>
      </c>
      <c r="C5" s="5"/>
      <c r="D5" s="82" t="s">
        <v>322</v>
      </c>
      <c r="E5" s="60" t="s">
        <v>170</v>
      </c>
      <c r="F5" s="29" t="s">
        <v>127</v>
      </c>
      <c r="G5" s="54"/>
      <c r="H5" s="20"/>
      <c r="I5" s="5" t="str">
        <f t="shared" si="0"/>
        <v>Defs</v>
      </c>
      <c r="J5" s="8" t="str">
        <f>IF(Table2[[#This Row],[!Type]]=J$1, J$1,"rg:None")</f>
        <v>rg:None</v>
      </c>
      <c r="K5" s="8" t="str">
        <f>IF(Table2[[#This Row],[!Type]]=K$1, K$1,"rg:None")</f>
        <v>rg:None</v>
      </c>
      <c r="L5" s="8" t="str">
        <f>IF(Table2[[#This Row],[!Type]]=L$1, L$1,"rg:None")</f>
        <v>rg:None</v>
      </c>
      <c r="M5" s="8" t="str">
        <f>IF(Table2[[#This Row],[!Type]]=M$1, M$1,"rg:None")</f>
        <v>rg:None</v>
      </c>
      <c r="N5" s="8" t="str">
        <f>IF(Table2[[#This Row],[!Type]]=N$1, N$1,"rg:None")</f>
        <v>rg:None</v>
      </c>
      <c r="O5" s="8"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8" t="str">
        <f>IF(LEN(Table2[[#This Row],[!Length]]) &gt; 0, Table2[[#This Row],[!Length]], "rg:None")</f>
        <v>rg:None</v>
      </c>
      <c r="U5" s="8" t="str">
        <f>IF(LEN(Table2[[#This Row],[!Name]]) &gt; 0, Table2[[#This Row],[!Name]], "rg:None")</f>
        <v>initiatorFK</v>
      </c>
      <c r="V5" s="8" t="str">
        <f>IF(LEN(Table2[[#This Row],[!Description]]) &gt; 0, Table2[[#This Row],[!Description]], "rg:None")</f>
        <v>A foreign key reference to the Fuel Supplier that initiated the transaction. Will be NULL if the Government of BC initiated the transaction.</v>
      </c>
      <c r="W5" s="8" t="str">
        <f>IF(LEN(Table2[[#This Row],[!FK]])&gt;0,Table2[[#This Row],[!FK]],"rg:None")</f>
        <v>FuelSupplier</v>
      </c>
      <c r="X5" s="8" t="str">
        <f>IF(LEN(concatif2(A:A,Table2[[#This Row],[!Table]],G:G,"Y",D:D,",")) &gt; 0,"rg:[ { 'req' : '"&amp;concatif2(A:A,Table2[[#This Row],[!Table]],G:G,"Y",D:D,"' }, { 'req': '")&amp;"'} ]","rg:[]")</f>
        <v>rg:[ { 'req' : 'id' }, { 'req': 'creditTradeStatusFK' }, { 'req': 'respondentFK' }, { 'req': 'creditTradeTypeFK' }, { 'req': 'numberOfCredits'} ]</v>
      </c>
      <c r="Y5" s="8" t="str">
        <f>IF(LEN(Table2[[#This Row],[!Unique]])&gt;0,IF(Table2[[#This Row],[!Type]] = "id", "rg:None","rg:True"),"rg:None")</f>
        <v>rg:None</v>
      </c>
    </row>
    <row r="6" spans="1:25" s="4" customFormat="1" ht="28.8" customHeight="1" x14ac:dyDescent="0.3">
      <c r="A6" s="29" t="s">
        <v>125</v>
      </c>
      <c r="B6" s="29" t="s">
        <v>8</v>
      </c>
      <c r="C6" s="5"/>
      <c r="D6" s="82" t="s">
        <v>323</v>
      </c>
      <c r="E6" s="60" t="s">
        <v>171</v>
      </c>
      <c r="F6" s="29" t="s">
        <v>127</v>
      </c>
      <c r="G6" s="62" t="s">
        <v>38</v>
      </c>
      <c r="H6" s="19"/>
      <c r="I6" s="5" t="str">
        <f t="shared" si="0"/>
        <v>Defs</v>
      </c>
      <c r="J6" s="8" t="str">
        <f>IF(Table2[[#This Row],[!Type]]=J$1, J$1,"rg:None")</f>
        <v>rg:None</v>
      </c>
      <c r="K6" s="8" t="str">
        <f>IF(Table2[[#This Row],[!Type]]=K$1, K$1,"rg:None")</f>
        <v>rg:None</v>
      </c>
      <c r="L6" s="8" t="str">
        <f>IF(Table2[[#This Row],[!Type]]=L$1, L$1,"rg:None")</f>
        <v>rg:None</v>
      </c>
      <c r="M6" s="8" t="str">
        <f>IF(Table2[[#This Row],[!Type]]=M$1, M$1,"rg:None")</f>
        <v>rg:None</v>
      </c>
      <c r="N6" s="8" t="str">
        <f>IF(Table2[[#This Row],[!Type]]=N$1, N$1,"rg:None")</f>
        <v>rg:None</v>
      </c>
      <c r="O6" s="8"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8" t="str">
        <f>IF(LEN(Table2[[#This Row],[!Length]]) &gt; 0, Table2[[#This Row],[!Length]], "rg:None")</f>
        <v>rg:None</v>
      </c>
      <c r="U6" s="8" t="str">
        <f>IF(LEN(Table2[[#This Row],[!Name]]) &gt; 0, Table2[[#This Row],[!Name]], "rg:None")</f>
        <v>respondentFK</v>
      </c>
      <c r="V6" s="8" t="str">
        <f>IF(LEN(Table2[[#This Row],[!Description]]) &gt; 0, Table2[[#This Row],[!Description]], "rg:None")</f>
        <v>A foreign key reference to a Fuel Supplier to which the trade was proposed.</v>
      </c>
      <c r="W6" s="8" t="str">
        <f>IF(LEN(Table2[[#This Row],[!FK]])&gt;0,Table2[[#This Row],[!FK]],"rg:None")</f>
        <v>FuelSupplier</v>
      </c>
      <c r="X6" s="8" t="str">
        <f>IF(LEN(concatif2(A:A,Table2[[#This Row],[!Table]],G:G,"Y",D:D,",")) &gt; 0,"rg:[ { 'req' : '"&amp;concatif2(A:A,Table2[[#This Row],[!Table]],G:G,"Y",D:D,"' }, { 'req': '")&amp;"'} ]","rg:[]")</f>
        <v>rg:[ { 'req' : 'id' }, { 'req': 'creditTradeStatusFK' }, { 'req': 'respondentFK' }, { 'req': 'creditTradeTypeFK' }, { 'req': 'numberOfCredits'} ]</v>
      </c>
      <c r="Y6" s="8" t="str">
        <f>IF(LEN(Table2[[#This Row],[!Unique]])&gt;0,IF(Table2[[#This Row],[!Type]] = "id", "rg:None","rg:True"),"rg:None")</f>
        <v>rg:None</v>
      </c>
    </row>
    <row r="7" spans="1:25" s="4" customFormat="1" ht="16.05" customHeight="1" x14ac:dyDescent="0.3">
      <c r="A7" s="29" t="s">
        <v>125</v>
      </c>
      <c r="B7" s="44" t="s">
        <v>8</v>
      </c>
      <c r="C7" s="5"/>
      <c r="D7" s="82" t="s">
        <v>324</v>
      </c>
      <c r="E7" s="66" t="s">
        <v>219</v>
      </c>
      <c r="F7" s="46" t="s">
        <v>135</v>
      </c>
      <c r="G7" s="63" t="s">
        <v>38</v>
      </c>
      <c r="H7" s="14"/>
      <c r="I7" s="4" t="str">
        <f>IF(LEN(A7) &gt; 0,"Defs","-")</f>
        <v>Defs</v>
      </c>
      <c r="J7" s="13" t="str">
        <f>IF(Table2[[#This Row],[!Type]]=J$1, J$1,"rg:None")</f>
        <v>rg:None</v>
      </c>
      <c r="K7" s="13" t="str">
        <f>IF(Table2[[#This Row],[!Type]]=K$1, K$1,"rg:None")</f>
        <v>rg:None</v>
      </c>
      <c r="L7" s="13" t="str">
        <f>IF(Table2[[#This Row],[!Type]]=L$1, L$1,"rg:None")</f>
        <v>rg:None</v>
      </c>
      <c r="M7" s="13" t="str">
        <f>IF(Table2[[#This Row],[!Type]]=M$1, M$1,"rg:None")</f>
        <v>rg:None</v>
      </c>
      <c r="N7" s="13" t="str">
        <f>IF(Table2[[#This Row],[!Type]]=N$1, N$1,"rg:None")</f>
        <v>rg:None</v>
      </c>
      <c r="O7" s="13" t="str">
        <f>IF(Table2[[#This Row],[!Type]]=O$1, O$1,"rg:None")</f>
        <v>rg:None</v>
      </c>
      <c r="P7" s="4" t="str">
        <f>IF(Table2[[#This Row],[!Type]]=P$1, P$1,"rg:None")</f>
        <v>rg:None</v>
      </c>
      <c r="Q7" s="4" t="str">
        <f>IF(Table2[[#This Row],[!Type]]=Q$1, Q$1,"rg:None")</f>
        <v>ref</v>
      </c>
      <c r="R7" s="4" t="str">
        <f>IF(Table2[[#This Row],[!Type]]=R$1, R$1,"rg:None")</f>
        <v>rg:None</v>
      </c>
      <c r="S7" s="4" t="str">
        <f>IF(Table2[[#This Row],[!Type]]=S$1, S$1,"rg:None")</f>
        <v>rg:None</v>
      </c>
      <c r="T7" s="13" t="str">
        <f>IF(LEN(Table2[[#This Row],[!Length]]) &gt; 0, Table2[[#This Row],[!Length]], "rg:None")</f>
        <v>rg:None</v>
      </c>
      <c r="U7" s="13" t="str">
        <f>IF(LEN(Table2[[#This Row],[!Name]]) &gt; 0, Table2[[#This Row],[!Name]], "rg:None")</f>
        <v>creditTradeTypeFK</v>
      </c>
      <c r="V7" s="13" t="str">
        <f>IF(LEN(Table2[[#This Row],[!Description]]) &gt; 0, Table2[[#This Row],[!Description]], "rg:None")</f>
        <v>A foreign key reference to the CreditTradeType.</v>
      </c>
      <c r="W7" s="13" t="str">
        <f>IF(LEN(Table2[[#This Row],[!FK]])&gt;0,Table2[[#This Row],[!FK]],"rg:None")</f>
        <v>CreditTradeType</v>
      </c>
      <c r="X7" s="13" t="str">
        <f>IF(LEN(concatif2(A:A,Table2[[#This Row],[!Table]],G:G,"Y",D:D,",")) &gt; 0,"rg:[ { 'req' : '"&amp;concatif2(A:A,Table2[[#This Row],[!Table]],G:G,"Y",D:D,"' }, { 'req': '")&amp;"'} ]","rg:[]")</f>
        <v>rg:[ { 'req' : 'id' }, { 'req': 'creditTradeStatusFK' }, { 'req': 'respondentFK' }, { 'req': 'creditTradeTypeFK' }, { 'req': 'numberOfCredits'} ]</v>
      </c>
      <c r="Y7" s="13" t="str">
        <f>IF(LEN(Table2[[#This Row],[!Unique]])&gt;0,IF(Table2[[#This Row],[!Type]] = "id", "rg:None","rg:True"),"rg:None")</f>
        <v>rg:None</v>
      </c>
    </row>
    <row r="8" spans="1:25" s="4" customFormat="1" ht="16.05" customHeight="1" x14ac:dyDescent="0.3">
      <c r="A8" s="29" t="s">
        <v>125</v>
      </c>
      <c r="B8" s="29" t="s">
        <v>12</v>
      </c>
      <c r="C8" s="5"/>
      <c r="D8" s="29" t="s">
        <v>126</v>
      </c>
      <c r="E8" s="66" t="s">
        <v>167</v>
      </c>
      <c r="F8" s="5" t="s">
        <v>5</v>
      </c>
      <c r="G8" s="20" t="s">
        <v>38</v>
      </c>
      <c r="I8" s="5" t="str">
        <f t="shared" si="0"/>
        <v>Defs</v>
      </c>
      <c r="J8" s="8" t="str">
        <f>IF(Table2[[#This Row],[!Type]]=J$1, J$1,"rg:None")</f>
        <v>rg:None</v>
      </c>
      <c r="K8" s="8" t="str">
        <f>IF(Table2[[#This Row],[!Type]]=K$1, K$1,"rg:None")</f>
        <v>rg:None</v>
      </c>
      <c r="L8" s="8" t="str">
        <f>IF(Table2[[#This Row],[!Type]]=L$1, L$1,"rg:None")</f>
        <v>rg:None</v>
      </c>
      <c r="M8" s="8" t="str">
        <f>IF(Table2[[#This Row],[!Type]]=M$1, M$1,"rg:None")</f>
        <v>rg:None</v>
      </c>
      <c r="N8" s="8" t="str">
        <f>IF(Table2[[#This Row],[!Type]]=N$1, N$1,"rg:None")</f>
        <v>integer</v>
      </c>
      <c r="O8" s="8"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8" t="str">
        <f>IF(LEN(Table2[[#This Row],[!Length]]) &gt; 0, Table2[[#This Row],[!Length]], "rg:None")</f>
        <v>rg:None</v>
      </c>
      <c r="U8" s="8" t="str">
        <f>IF(LEN(Table2[[#This Row],[!Name]]) &gt; 0, Table2[[#This Row],[!Name]], "rg:None")</f>
        <v>numberOfCredits</v>
      </c>
      <c r="V8" s="8" t="str">
        <f>IF(LEN(Table2[[#This Row],[!Description]]) &gt; 0, Table2[[#This Row],[!Description]], "rg:None")</f>
        <v>The number of credits involved in the Credit Trade.</v>
      </c>
      <c r="W8" s="8" t="str">
        <f>IF(LEN(Table2[[#This Row],[!FK]])&gt;0,Table2[[#This Row],[!FK]],"rg:None")</f>
        <v>rg:None</v>
      </c>
      <c r="X8" s="8" t="str">
        <f>IF(LEN(concatif2(A:A,Table2[[#This Row],[!Table]],G:G,"Y",D:D,",")) &gt; 0,"rg:[ { 'req' : '"&amp;concatif2(A:A,Table2[[#This Row],[!Table]],G:G,"Y",D:D,"' }, { 'req': '")&amp;"'} ]","rg:[]")</f>
        <v>rg:[ { 'req' : 'id' }, { 'req': 'creditTradeStatusFK' }, { 'req': 'respondentFK' }, { 'req': 'creditTradeTypeFK' }, { 'req': 'numberOfCredits'} ]</v>
      </c>
      <c r="Y8" s="8" t="str">
        <f>IF(LEN(Table2[[#This Row],[!Unique]])&gt;0,IF(Table2[[#This Row],[!Type]] = "id", "rg:None","rg:True"),"rg:None")</f>
        <v>rg:None</v>
      </c>
    </row>
    <row r="9" spans="1:25" s="4" customFormat="1" ht="43.2" customHeight="1" x14ac:dyDescent="0.3">
      <c r="A9" s="29" t="s">
        <v>125</v>
      </c>
      <c r="B9" s="29" t="s">
        <v>82</v>
      </c>
      <c r="C9" s="5"/>
      <c r="D9" s="50" t="s">
        <v>153</v>
      </c>
      <c r="E9" s="60" t="s">
        <v>172</v>
      </c>
      <c r="F9" s="5" t="s">
        <v>5</v>
      </c>
      <c r="G9" s="45"/>
      <c r="I9" s="5" t="str">
        <f t="shared" si="0"/>
        <v>Defs</v>
      </c>
      <c r="J9" s="8" t="str">
        <f>IF(Table2[[#This Row],[!Type]]=J$1, J$1,"rg:None")</f>
        <v>rg:None</v>
      </c>
      <c r="K9" s="8" t="str">
        <f>IF(Table2[[#This Row],[!Type]]=K$1, K$1,"rg:None")</f>
        <v>rg:None</v>
      </c>
      <c r="L9" s="8" t="str">
        <f>IF(Table2[[#This Row],[!Type]]=L$1, L$1,"rg:None")</f>
        <v>rg:None</v>
      </c>
      <c r="M9" s="8" t="str">
        <f>IF(Table2[[#This Row],[!Type]]=M$1, M$1,"rg:None")</f>
        <v>rg:None</v>
      </c>
      <c r="N9" s="8" t="str">
        <f>IF(Table2[[#This Row],[!Type]]=N$1, N$1,"rg:None")</f>
        <v>rg:None</v>
      </c>
      <c r="O9" s="8" t="str">
        <f>IF(Table2[[#This Row],[!Type]]=O$1, O$1,"rg:None")</f>
        <v>float</v>
      </c>
      <c r="P9" s="5" t="str">
        <f>IF(Table2[[#This Row],[!Type]]=P$1, P$1,"rg:None")</f>
        <v>rg:None</v>
      </c>
      <c r="Q9" s="5" t="str">
        <f>IF(Table2[[#This Row],[!Type]]=Q$1, Q$1,"rg:None")</f>
        <v>rg:None</v>
      </c>
      <c r="R9" s="5" t="str">
        <f>IF(Table2[[#This Row],[!Type]]=R$1, R$1,"rg:None")</f>
        <v>rg:None</v>
      </c>
      <c r="S9" s="5" t="str">
        <f>IF(Table2[[#This Row],[!Type]]=S$1, S$1,"rg:None")</f>
        <v>rg:None</v>
      </c>
      <c r="T9" s="8" t="str">
        <f>IF(LEN(Table2[[#This Row],[!Length]]) &gt; 0, Table2[[#This Row],[!Length]], "rg:None")</f>
        <v>rg:None</v>
      </c>
      <c r="U9" s="8" t="str">
        <f>IF(LEN(Table2[[#This Row],[!Name]]) &gt; 0, Table2[[#This Row],[!Name]], "rg:None")</f>
        <v>fairMarketValuePerCredit</v>
      </c>
      <c r="V9" s="8" t="str">
        <f>IF(LEN(Table2[[#This Row],[!Description]]) &gt; 0, Table2[[#This Row],[!Description]], "rg:None")</f>
        <v>The price (if applicable) of each credit in the transaction. There is no fair market value on transaction initiated by the Government of BC.</v>
      </c>
      <c r="W9" s="8" t="str">
        <f>IF(LEN(Table2[[#This Row],[!FK]])&gt;0,Table2[[#This Row],[!FK]],"rg:None")</f>
        <v>rg:None</v>
      </c>
      <c r="X9" s="8" t="str">
        <f>IF(LEN(concatif2(A:A,Table2[[#This Row],[!Table]],G:G,"Y",D:D,",")) &gt; 0,"rg:[ { 'req' : '"&amp;concatif2(A:A,Table2[[#This Row],[!Table]],G:G,"Y",D:D,"' }, { 'req': '")&amp;"'} ]","rg:[]")</f>
        <v>rg:[ { 'req' : 'id' }, { 'req': 'creditTradeStatusFK' }, { 'req': 'respondentFK' }, { 'req': 'creditTradeTypeFK' }, { 'req': 'numberOfCredits'} ]</v>
      </c>
      <c r="Y9" s="8" t="str">
        <f>IF(LEN(Table2[[#This Row],[!Unique]])&gt;0,IF(Table2[[#This Row],[!Type]] = "id", "rg:None","rg:True"),"rg:None")</f>
        <v>rg:None</v>
      </c>
    </row>
    <row r="10" spans="1:25" s="4" customFormat="1" ht="43.2" customHeight="1" x14ac:dyDescent="0.3">
      <c r="A10" s="84" t="s">
        <v>125</v>
      </c>
      <c r="B10" s="84" t="s">
        <v>8</v>
      </c>
      <c r="C10" s="5"/>
      <c r="D10" s="90" t="s">
        <v>349</v>
      </c>
      <c r="E10" s="85" t="s">
        <v>346</v>
      </c>
      <c r="F10" s="85" t="s">
        <v>337</v>
      </c>
      <c r="G10" s="14"/>
      <c r="H10" s="14"/>
      <c r="I10" s="4" t="str">
        <f>IF(LEN(A10) &gt; 0,"Defs","-")</f>
        <v>Defs</v>
      </c>
      <c r="J10" s="13" t="str">
        <f>IF(Table2[[#This Row],[!Type]]=J$1, J$1,"rg:None")</f>
        <v>rg:None</v>
      </c>
      <c r="K10" s="13" t="str">
        <f>IF(Table2[[#This Row],[!Type]]=K$1, K$1,"rg:None")</f>
        <v>rg:None</v>
      </c>
      <c r="L10" s="13" t="str">
        <f>IF(Table2[[#This Row],[!Type]]=L$1, L$1,"rg:None")</f>
        <v>rg:None</v>
      </c>
      <c r="M10" s="13" t="str">
        <f>IF(Table2[[#This Row],[!Type]]=M$1, M$1,"rg:None")</f>
        <v>rg:None</v>
      </c>
      <c r="N10" s="13" t="str">
        <f>IF(Table2[[#This Row],[!Type]]=N$1, N$1,"rg:None")</f>
        <v>rg:None</v>
      </c>
      <c r="O10" s="13"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13" t="str">
        <f>IF(LEN(Table2[[#This Row],[!Length]]) &gt; 0, Table2[[#This Row],[!Length]], "rg:None")</f>
        <v>rg:None</v>
      </c>
      <c r="U10" s="13" t="str">
        <f>IF(LEN(Table2[[#This Row],[!Name]]) &gt; 0, Table2[[#This Row],[!Name]], "rg:None")</f>
        <v>creditTradeZeroReasonFK</v>
      </c>
      <c r="V10" s="13" t="str">
        <f>IF(LEN(Table2[[#This Row],[!Description]]) &gt; 0, Table2[[#This Row],[!Description]], "rg:None")</f>
        <v>A foreign key reference to the Credit Trade Zero Reason.</v>
      </c>
      <c r="W10" s="13" t="str">
        <f>IF(LEN(Table2[[#This Row],[!FK]])&gt;0,Table2[[#This Row],[!FK]],"rg:None")</f>
        <v>CreditTradeZeroReason</v>
      </c>
      <c r="X10" s="13" t="str">
        <f>IF(LEN(concatif2(A:A,Table2[[#This Row],[!Table]],G:G,"Y",D:D,",")) &gt; 0,"rg:[ { 'req' : '"&amp;concatif2(A:A,Table2[[#This Row],[!Table]],G:G,"Y",D:D,"' }, { 'req': '")&amp;"'} ]","rg:[]")</f>
        <v>rg:[ { 'req' : 'id' }, { 'req': 'creditTradeStatusFK' }, { 'req': 'respondentFK' }, { 'req': 'creditTradeTypeFK' }, { 'req': 'numberOfCredits'} ]</v>
      </c>
      <c r="Y10" s="13" t="str">
        <f>IF(LEN(Table2[[#This Row],[!Unique]])&gt;0,IF(Table2[[#This Row],[!Type]] = "id", "rg:None","rg:True"),"rg:None")</f>
        <v>rg:None</v>
      </c>
    </row>
    <row r="11" spans="1:25" s="4" customFormat="1" ht="72" customHeight="1" x14ac:dyDescent="0.3">
      <c r="A11" s="29" t="s">
        <v>125</v>
      </c>
      <c r="B11" s="29" t="s">
        <v>11</v>
      </c>
      <c r="C11" s="5"/>
      <c r="D11" s="50" t="s">
        <v>154</v>
      </c>
      <c r="E11" s="85" t="s">
        <v>347</v>
      </c>
      <c r="F11" s="5" t="s">
        <v>5</v>
      </c>
      <c r="H11" s="20"/>
      <c r="I11" s="5" t="str">
        <f>IF(LEN(A11) &gt; 0,"Defs","-")</f>
        <v>Defs</v>
      </c>
      <c r="J11" s="8" t="str">
        <f>IF(Table2[[#This Row],[!Type]]=J$1, J$1,"rg:None")</f>
        <v>rg:None</v>
      </c>
      <c r="K11" s="8" t="str">
        <f>IF(Table2[[#This Row],[!Type]]=K$1, K$1,"rg:None")</f>
        <v>rg:None</v>
      </c>
      <c r="L11" s="8" t="str">
        <f>IF(Table2[[#This Row],[!Type]]=L$1, L$1,"rg:None")</f>
        <v>datetime</v>
      </c>
      <c r="M11" s="8" t="str">
        <f>IF(Table2[[#This Row],[!Type]]=M$1, M$1,"rg:None")</f>
        <v>rg:None</v>
      </c>
      <c r="N11" s="8" t="str">
        <f>IF(Table2[[#This Row],[!Type]]=N$1, N$1,"rg:None")</f>
        <v>rg:None</v>
      </c>
      <c r="O11" s="8"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8" t="str">
        <f>IF(LEN(Table2[[#This Row],[!Length]]) &gt; 0, Table2[[#This Row],[!Length]], "rg:None")</f>
        <v>rg:None</v>
      </c>
      <c r="U11" s="8" t="str">
        <f>IF(LEN(Table2[[#This Row],[!Name]]) &gt; 0, Table2[[#This Row],[!Name]], "rg:None")</f>
        <v>tradeEffectiveDate</v>
      </c>
      <c r="V11" s="8" t="str">
        <f>IF(LEN(Table2[[#This Row],[!Description]]) &gt; 0, Table2[[#This Row],[!Description]], "rg:None")</f>
        <v>The effective date of the trade if specified beforehand and the date on which the trade occurred after execution. If NULL - indicates the trade has not occurred and the effective date will be the date the Ministry Approver approves the transaction.</v>
      </c>
      <c r="W11" s="8" t="str">
        <f>IF(LEN(Table2[[#This Row],[!FK]])&gt;0,Table2[[#This Row],[!FK]],"rg:None")</f>
        <v>rg:None</v>
      </c>
      <c r="X11" s="8" t="str">
        <f>IF(LEN(concatif2(A:A,Table2[[#This Row],[!Table]],G:G,"Y",D:D,",")) &gt; 0,"rg:[ { 'req' : '"&amp;concatif2(A:A,Table2[[#This Row],[!Table]],G:G,"Y",D:D,"' }, { 'req': '")&amp;"'} ]","rg:[]")</f>
        <v>rg:[ { 'req' : 'id' }, { 'req': 'creditTradeStatusFK' }, { 'req': 'respondentFK' }, { 'req': 'creditTradeTypeFK' }, { 'req': 'numberOfCredits'} ]</v>
      </c>
      <c r="Y11" s="8" t="str">
        <f>IF(LEN(Table2[[#This Row],[!Unique]])&gt;0,IF(Table2[[#This Row],[!Type]] = "id", "rg:None","rg:True"),"rg:None")</f>
        <v>rg:None</v>
      </c>
    </row>
    <row r="12" spans="1:25" s="4" customFormat="1" ht="28.8" customHeight="1" x14ac:dyDescent="0.3">
      <c r="A12" s="50" t="s">
        <v>141</v>
      </c>
      <c r="B12" s="5" t="s">
        <v>4</v>
      </c>
      <c r="C12" s="5"/>
      <c r="D12" s="50" t="s">
        <v>141</v>
      </c>
      <c r="E12" s="66" t="s">
        <v>216</v>
      </c>
      <c r="F12" s="5" t="s">
        <v>5</v>
      </c>
      <c r="I12" s="5" t="str">
        <f>IF(LEN(A12) &gt; 0,"Defs","-")</f>
        <v>Defs</v>
      </c>
      <c r="J12" s="8" t="str">
        <f>IF(Table2[[#This Row],[!Type]]=J$1, J$1,"rg:None")</f>
        <v>rg:None</v>
      </c>
      <c r="K12" s="8" t="str">
        <f>IF(Table2[[#This Row],[!Type]]=K$1, K$1,"rg:None")</f>
        <v>rg:None</v>
      </c>
      <c r="L12" s="8" t="str">
        <f>IF(Table2[[#This Row],[!Type]]=L$1, L$1,"rg:None")</f>
        <v>rg:None</v>
      </c>
      <c r="M12" s="8" t="str">
        <f>IF(Table2[[#This Row],[!Type]]=M$1, M$1,"rg:None")</f>
        <v>rg:None</v>
      </c>
      <c r="N12" s="8" t="str">
        <f>IF(Table2[[#This Row],[!Type]]=N$1, N$1,"rg:None")</f>
        <v>rg:None</v>
      </c>
      <c r="O12" s="8" t="str">
        <f>IF(Table2[[#This Row],[!Type]]=O$1, O$1,"rg:None")</f>
        <v>rg:None</v>
      </c>
      <c r="P12" s="5" t="str">
        <f>IF(Table2[[#This Row],[!Type]]=P$1, P$1,"rg:None")</f>
        <v>rg:None</v>
      </c>
      <c r="Q12" s="5" t="str">
        <f>IF(Table2[[#This Row],[!Type]]=Q$1, Q$1,"rg:None")</f>
        <v>rg:None</v>
      </c>
      <c r="R12" s="5" t="str">
        <f>IF(Table2[[#This Row],[!Type]]=R$1, R$1,"rg:None")</f>
        <v>rg:None</v>
      </c>
      <c r="S12" s="5" t="str">
        <f>IF(Table2[[#This Row],[!Type]]=S$1, S$1,"rg:None")</f>
        <v>table</v>
      </c>
      <c r="T12" s="8" t="str">
        <f>IF(LEN(Table2[[#This Row],[!Length]]) &gt; 0, Table2[[#This Row],[!Length]], "rg:None")</f>
        <v>rg:None</v>
      </c>
      <c r="U12" s="8" t="str">
        <f>IF(LEN(Table2[[#This Row],[!Name]]) &gt; 0, Table2[[#This Row],[!Name]], "rg:None")</f>
        <v>CreditTradeHistory</v>
      </c>
      <c r="V12" s="8" t="str">
        <f>IF(LEN(Table2[[#This Row],[!Description]]) &gt; 0, Table2[[#This Row],[!Description]], "rg:None")</f>
        <v>A snapshot of a Credit Trade following a change to the Credit Trade data.</v>
      </c>
      <c r="W12" s="8" t="str">
        <f>IF(LEN(Table2[[#This Row],[!FK]])&gt;0,Table2[[#This Row],[!FK]],"rg:None")</f>
        <v>rg:None</v>
      </c>
      <c r="X12"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2" s="8" t="str">
        <f>IF(LEN(Table2[[#This Row],[!Unique]])&gt;0,IF(Table2[[#This Row],[!Type]] = "id", "rg:None","rg:True"),"rg:None")</f>
        <v>rg:None</v>
      </c>
    </row>
    <row r="13" spans="1:25" s="4" customFormat="1" ht="28.8" x14ac:dyDescent="0.3">
      <c r="A13" s="50" t="s">
        <v>141</v>
      </c>
      <c r="B13" s="5" t="s">
        <v>6</v>
      </c>
      <c r="C13" s="5"/>
      <c r="D13" s="5" t="s">
        <v>6</v>
      </c>
      <c r="E13" s="66" t="s">
        <v>220</v>
      </c>
      <c r="F13" s="5" t="s">
        <v>5</v>
      </c>
      <c r="G13" s="4" t="s">
        <v>38</v>
      </c>
      <c r="H13" s="20" t="s">
        <v>38</v>
      </c>
      <c r="I13" s="5" t="str">
        <f>IF(LEN(A13) &gt; 0,"Defs","-")</f>
        <v>Defs</v>
      </c>
      <c r="J13" s="8" t="str">
        <f>IF(Table2[[#This Row],[!Type]]=J$1, J$1,"rg:None")</f>
        <v>rg:None</v>
      </c>
      <c r="K13" s="8" t="str">
        <f>IF(Table2[[#This Row],[!Type]]=K$1, K$1,"rg:None")</f>
        <v>rg:None</v>
      </c>
      <c r="L13" s="8" t="str">
        <f>IF(Table2[[#This Row],[!Type]]=L$1, L$1,"rg:None")</f>
        <v>rg:None</v>
      </c>
      <c r="M13" s="8" t="str">
        <f>IF(Table2[[#This Row],[!Type]]=M$1, M$1,"rg:None")</f>
        <v>id</v>
      </c>
      <c r="N13" s="8" t="str">
        <f>IF(Table2[[#This Row],[!Type]]=N$1, N$1,"rg:None")</f>
        <v>rg:None</v>
      </c>
      <c r="O13" s="8" t="str">
        <f>IF(Table2[[#This Row],[!Type]]=O$1, O$1,"rg:None")</f>
        <v>rg:None</v>
      </c>
      <c r="P13" s="5" t="str">
        <f>IF(Table2[[#This Row],[!Type]]=P$1, P$1,"rg:None")</f>
        <v>rg:None</v>
      </c>
      <c r="Q13" s="5" t="str">
        <f>IF(Table2[[#This Row],[!Type]]=Q$1, Q$1,"rg:None")</f>
        <v>rg:None</v>
      </c>
      <c r="R13" s="5" t="str">
        <f>IF(Table2[[#This Row],[!Type]]=R$1, R$1,"rg:None")</f>
        <v>rg:None</v>
      </c>
      <c r="S13" s="5" t="str">
        <f>IF(Table2[[#This Row],[!Type]]=S$1, S$1,"rg:None")</f>
        <v>rg:None</v>
      </c>
      <c r="T13" s="8" t="str">
        <f>IF(LEN(Table2[[#This Row],[!Length]]) &gt; 0, Table2[[#This Row],[!Length]], "rg:None")</f>
        <v>rg:None</v>
      </c>
      <c r="U13" s="8" t="str">
        <f>IF(LEN(Table2[[#This Row],[!Name]]) &gt; 0, Table2[[#This Row],[!Name]], "rg:None")</f>
        <v>id</v>
      </c>
      <c r="V13" s="8" t="str">
        <f>IF(LEN(Table2[[#This Row],[!Description]]) &gt; 0, Table2[[#This Row],[!Description]], "rg:None")</f>
        <v>A system-generated unique identifier for a Credit Trade History.</v>
      </c>
      <c r="W13" s="8" t="str">
        <f>IF(LEN(Table2[[#This Row],[!FK]])&gt;0,Table2[[#This Row],[!FK]],"rg:None")</f>
        <v>rg:None</v>
      </c>
      <c r="X13"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3" s="8" t="str">
        <f>IF(LEN(Table2[[#This Row],[!Unique]])&gt;0,IF(Table2[[#This Row],[!Type]] = "id", "rg:None","rg:True"),"rg:None")</f>
        <v>rg:None</v>
      </c>
    </row>
    <row r="14" spans="1:25" s="4" customFormat="1" ht="28.8" customHeight="1" x14ac:dyDescent="0.3">
      <c r="A14" s="84" t="s">
        <v>141</v>
      </c>
      <c r="B14" s="84" t="s">
        <v>8</v>
      </c>
      <c r="C14" s="5"/>
      <c r="D14" s="84" t="s">
        <v>329</v>
      </c>
      <c r="E14" s="85" t="s">
        <v>335</v>
      </c>
      <c r="F14" s="85" t="s">
        <v>125</v>
      </c>
      <c r="G14" s="86" t="s">
        <v>38</v>
      </c>
      <c r="H14" s="14"/>
      <c r="I14" s="4" t="str">
        <f>IF(LEN(A14) &gt; 0,"Defs","-")</f>
        <v>Defs</v>
      </c>
      <c r="J14" s="13" t="str">
        <f>IF(Table2[[#This Row],[!Type]]=J$1, J$1,"rg:None")</f>
        <v>rg:None</v>
      </c>
      <c r="K14" s="13" t="str">
        <f>IF(Table2[[#This Row],[!Type]]=K$1, K$1,"rg:None")</f>
        <v>rg:None</v>
      </c>
      <c r="L14" s="13" t="str">
        <f>IF(Table2[[#This Row],[!Type]]=L$1, L$1,"rg:None")</f>
        <v>rg:None</v>
      </c>
      <c r="M14" s="13" t="str">
        <f>IF(Table2[[#This Row],[!Type]]=M$1, M$1,"rg:None")</f>
        <v>rg:None</v>
      </c>
      <c r="N14" s="13" t="str">
        <f>IF(Table2[[#This Row],[!Type]]=N$1, N$1,"rg:None")</f>
        <v>rg:None</v>
      </c>
      <c r="O14" s="13" t="str">
        <f>IF(Table2[[#This Row],[!Type]]=O$1, O$1,"rg:None")</f>
        <v>rg:None</v>
      </c>
      <c r="P14" s="4" t="str">
        <f>IF(Table2[[#This Row],[!Type]]=P$1, P$1,"rg:None")</f>
        <v>rg:None</v>
      </c>
      <c r="Q14" s="4" t="str">
        <f>IF(Table2[[#This Row],[!Type]]=Q$1, Q$1,"rg:None")</f>
        <v>ref</v>
      </c>
      <c r="R14" s="4" t="str">
        <f>IF(Table2[[#This Row],[!Type]]=R$1, R$1,"rg:None")</f>
        <v>rg:None</v>
      </c>
      <c r="S14" s="4" t="str">
        <f>IF(Table2[[#This Row],[!Type]]=S$1, S$1,"rg:None")</f>
        <v>rg:None</v>
      </c>
      <c r="T14" s="13" t="str">
        <f>IF(LEN(Table2[[#This Row],[!Length]]) &gt; 0, Table2[[#This Row],[!Length]], "rg:None")</f>
        <v>rg:None</v>
      </c>
      <c r="U14" s="13" t="str">
        <f>IF(LEN(Table2[[#This Row],[!Name]]) &gt; 0, Table2[[#This Row],[!Name]], "rg:None")</f>
        <v>creditTradeFK</v>
      </c>
      <c r="V14" s="13" t="str">
        <f>IF(LEN(Table2[[#This Row],[!Description]]) &gt; 0, Table2[[#This Row],[!Description]], "rg:None")</f>
        <v>A foreign key reference to the Credit Trade that generated this Credit Trade History record.</v>
      </c>
      <c r="W14" s="13" t="str">
        <f>IF(LEN(Table2[[#This Row],[!FK]])&gt;0,Table2[[#This Row],[!FK]],"rg:None")</f>
        <v>CreditTrade</v>
      </c>
      <c r="X14"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4" s="13" t="str">
        <f>IF(LEN(Table2[[#This Row],[!Unique]])&gt;0,IF(Table2[[#This Row],[!Type]] = "id", "rg:None","rg:True"),"rg:None")</f>
        <v>rg:None</v>
      </c>
    </row>
    <row r="15" spans="1:25" s="4" customFormat="1" ht="28.8" customHeight="1" x14ac:dyDescent="0.3">
      <c r="A15" s="50" t="s">
        <v>141</v>
      </c>
      <c r="B15" s="5" t="s">
        <v>8</v>
      </c>
      <c r="C15" s="5"/>
      <c r="D15" s="82" t="s">
        <v>325</v>
      </c>
      <c r="E15" s="68" t="s">
        <v>221</v>
      </c>
      <c r="F15" s="5" t="s">
        <v>0</v>
      </c>
      <c r="G15" s="70" t="s">
        <v>38</v>
      </c>
      <c r="I15" s="5" t="str">
        <f t="shared" ref="I15:I141" si="1">IF(LEN(A15) &gt; 0,"Defs","-")</f>
        <v>Defs</v>
      </c>
      <c r="J15" s="8" t="str">
        <f>IF(Table2[[#This Row],[!Type]]=J$1, J$1,"rg:None")</f>
        <v>rg:None</v>
      </c>
      <c r="K15" s="8" t="str">
        <f>IF(Table2[[#This Row],[!Type]]=K$1, K$1,"rg:None")</f>
        <v>rg:None</v>
      </c>
      <c r="L15" s="8" t="str">
        <f>IF(Table2[[#This Row],[!Type]]=L$1, L$1,"rg:None")</f>
        <v>rg:None</v>
      </c>
      <c r="M15" s="8" t="str">
        <f>IF(Table2[[#This Row],[!Type]]=M$1, M$1,"rg:None")</f>
        <v>rg:None</v>
      </c>
      <c r="N15" s="8" t="str">
        <f>IF(Table2[[#This Row],[!Type]]=N$1, N$1,"rg:None")</f>
        <v>rg:None</v>
      </c>
      <c r="O15" s="8" t="str">
        <f>IF(Table2[[#This Row],[!Type]]=O$1, O$1,"rg:None")</f>
        <v>rg:None</v>
      </c>
      <c r="P15" s="5" t="str">
        <f>IF(Table2[[#This Row],[!Type]]=P$1, P$1,"rg:None")</f>
        <v>rg:None</v>
      </c>
      <c r="Q15" s="5" t="str">
        <f>IF(Table2[[#This Row],[!Type]]=Q$1, Q$1,"rg:None")</f>
        <v>ref</v>
      </c>
      <c r="R15" s="5" t="str">
        <f>IF(Table2[[#This Row],[!Type]]=R$1, R$1,"rg:None")</f>
        <v>rg:None</v>
      </c>
      <c r="S15" s="5" t="str">
        <f>IF(Table2[[#This Row],[!Type]]=S$1, S$1,"rg:None")</f>
        <v>rg:None</v>
      </c>
      <c r="T15" s="8" t="str">
        <f>IF(LEN(Table2[[#This Row],[!Length]]) &gt; 0, Table2[[#This Row],[!Length]], "rg:None")</f>
        <v>rg:None</v>
      </c>
      <c r="U15" s="8" t="str">
        <f>IF(LEN(Table2[[#This Row],[!Name]]) &gt; 0, Table2[[#This Row],[!Name]], "rg:None")</f>
        <v>userFK</v>
      </c>
      <c r="V15" s="8" t="str">
        <f>IF(LEN(Table2[[#This Row],[!Description]]) &gt; 0, Table2[[#This Row],[!Description]], "rg:None")</f>
        <v>A foreign key reference to the User that updated the Credit Trade.</v>
      </c>
      <c r="W15" s="8" t="str">
        <f>IF(LEN(Table2[[#This Row],[!FK]])&gt;0,Table2[[#This Row],[!FK]],"rg:None")</f>
        <v>User</v>
      </c>
      <c r="X15"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5" s="8" t="str">
        <f>IF(LEN(Table2[[#This Row],[!Unique]])&gt;0,IF(Table2[[#This Row],[!Type]] = "id", "rg:None","rg:True"),"rg:None")</f>
        <v>rg:None</v>
      </c>
    </row>
    <row r="16" spans="1:25" s="4" customFormat="1" ht="28.8" customHeight="1" x14ac:dyDescent="0.3">
      <c r="A16" s="50" t="s">
        <v>141</v>
      </c>
      <c r="B16" s="5" t="s">
        <v>11</v>
      </c>
      <c r="C16" s="5"/>
      <c r="D16" s="61" t="s">
        <v>188</v>
      </c>
      <c r="E16" s="69" t="s">
        <v>262</v>
      </c>
      <c r="F16" s="5" t="s">
        <v>5</v>
      </c>
      <c r="G16" s="20" t="s">
        <v>38</v>
      </c>
      <c r="I16" s="5" t="str">
        <f t="shared" si="1"/>
        <v>Defs</v>
      </c>
      <c r="J16" s="8" t="str">
        <f>IF(Table2[[#This Row],[!Type]]=J$1, J$1,"rg:None")</f>
        <v>rg:None</v>
      </c>
      <c r="K16" s="8" t="str">
        <f>IF(Table2[[#This Row],[!Type]]=K$1, K$1,"rg:None")</f>
        <v>rg:None</v>
      </c>
      <c r="L16" s="8" t="str">
        <f>IF(Table2[[#This Row],[!Type]]=L$1, L$1,"rg:None")</f>
        <v>datetime</v>
      </c>
      <c r="M16" s="8" t="str">
        <f>IF(Table2[[#This Row],[!Type]]=M$1, M$1,"rg:None")</f>
        <v>rg:None</v>
      </c>
      <c r="N16" s="8" t="str">
        <f>IF(Table2[[#This Row],[!Type]]=N$1, N$1,"rg:None")</f>
        <v>rg:None</v>
      </c>
      <c r="O16" s="8" t="str">
        <f>IF(Table2[[#This Row],[!Type]]=O$1, O$1,"rg:None")</f>
        <v>rg:None</v>
      </c>
      <c r="P16" s="5" t="str">
        <f>IF(Table2[[#This Row],[!Type]]=P$1, P$1,"rg:None")</f>
        <v>rg:None</v>
      </c>
      <c r="Q16" s="5" t="str">
        <f>IF(Table2[[#This Row],[!Type]]=Q$1, Q$1,"rg:None")</f>
        <v>rg:None</v>
      </c>
      <c r="R16" s="5" t="str">
        <f>IF(Table2[[#This Row],[!Type]]=R$1, R$1,"rg:None")</f>
        <v>rg:None</v>
      </c>
      <c r="S16" s="5" t="str">
        <f>IF(Table2[[#This Row],[!Type]]=S$1, S$1,"rg:None")</f>
        <v>rg:None</v>
      </c>
      <c r="T16" s="8" t="str">
        <f>IF(LEN(Table2[[#This Row],[!Length]]) &gt; 0, Table2[[#This Row],[!Length]], "rg:None")</f>
        <v>rg:None</v>
      </c>
      <c r="U16" s="8" t="str">
        <f>IF(LEN(Table2[[#This Row],[!Name]]) &gt; 0, Table2[[#This Row],[!Name]], "rg:None")</f>
        <v>creditTradeUpdateTime</v>
      </c>
      <c r="V16" s="8" t="str">
        <f>IF(LEN(Table2[[#This Row],[!Description]]) &gt; 0, Table2[[#This Row],[!Description]], "rg:None")</f>
        <v>The date/time the update was made to the Credit Trade.</v>
      </c>
      <c r="W16" s="8" t="str">
        <f>IF(LEN(Table2[[#This Row],[!FK]])&gt;0,Table2[[#This Row],[!FK]],"rg:None")</f>
        <v>rg:None</v>
      </c>
      <c r="X16"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6" s="8" t="str">
        <f>IF(LEN(Table2[[#This Row],[!Unique]])&gt;0,IF(Table2[[#This Row],[!Type]] = "id", "rg:None","rg:True"),"rg:None")</f>
        <v>rg:None</v>
      </c>
    </row>
    <row r="17" spans="1:25" s="4" customFormat="1" ht="28.8" customHeight="1" x14ac:dyDescent="0.3">
      <c r="A17" s="83" t="s">
        <v>141</v>
      </c>
      <c r="B17" s="29" t="s">
        <v>8</v>
      </c>
      <c r="C17" s="5"/>
      <c r="D17" s="83" t="s">
        <v>334</v>
      </c>
      <c r="E17" s="60" t="s">
        <v>171</v>
      </c>
      <c r="F17" s="29" t="s">
        <v>127</v>
      </c>
      <c r="G17" s="62" t="s">
        <v>38</v>
      </c>
      <c r="H17" s="19"/>
      <c r="I17" s="5" t="str">
        <f t="shared" si="1"/>
        <v>Defs</v>
      </c>
      <c r="J17" s="8" t="str">
        <f>IF(Table2[[#This Row],[!Type]]=J$1, J$1,"rg:None")</f>
        <v>rg:None</v>
      </c>
      <c r="K17" s="8" t="str">
        <f>IF(Table2[[#This Row],[!Type]]=K$1, K$1,"rg:None")</f>
        <v>rg:None</v>
      </c>
      <c r="L17" s="8" t="str">
        <f>IF(Table2[[#This Row],[!Type]]=L$1, L$1,"rg:None")</f>
        <v>rg:None</v>
      </c>
      <c r="M17" s="8" t="str">
        <f>IF(Table2[[#This Row],[!Type]]=M$1, M$1,"rg:None")</f>
        <v>rg:None</v>
      </c>
      <c r="N17" s="8" t="str">
        <f>IF(Table2[[#This Row],[!Type]]=N$1, N$1,"rg:None")</f>
        <v>rg:None</v>
      </c>
      <c r="O17" s="8" t="str">
        <f>IF(Table2[[#This Row],[!Type]]=O$1, O$1,"rg:None")</f>
        <v>rg:None</v>
      </c>
      <c r="P17" s="5" t="str">
        <f>IF(Table2[[#This Row],[!Type]]=P$1, P$1,"rg:None")</f>
        <v>rg:None</v>
      </c>
      <c r="Q17" s="5" t="str">
        <f>IF(Table2[[#This Row],[!Type]]=Q$1, Q$1,"rg:None")</f>
        <v>ref</v>
      </c>
      <c r="R17" s="5" t="str">
        <f>IF(Table2[[#This Row],[!Type]]=R$1, R$1,"rg:None")</f>
        <v>rg:None</v>
      </c>
      <c r="S17" s="5" t="str">
        <f>IF(Table2[[#This Row],[!Type]]=S$1, S$1,"rg:None")</f>
        <v>rg:None</v>
      </c>
      <c r="T17" s="8" t="str">
        <f>IF(LEN(Table2[[#This Row],[!Length]]) &gt; 0, Table2[[#This Row],[!Length]], "rg:None")</f>
        <v>rg:None</v>
      </c>
      <c r="U17" s="8" t="str">
        <f>IF(LEN(Table2[[#This Row],[!Name]]) &gt; 0, Table2[[#This Row],[!Name]], "rg:None")</f>
        <v>newRespondentFK</v>
      </c>
      <c r="V17" s="8" t="str">
        <f>IF(LEN(Table2[[#This Row],[!Description]]) &gt; 0, Table2[[#This Row],[!Description]], "rg:None")</f>
        <v>A foreign key reference to a Fuel Supplier to which the trade was proposed.</v>
      </c>
      <c r="W17" s="8" t="str">
        <f>IF(LEN(Table2[[#This Row],[!FK]])&gt;0,Table2[[#This Row],[!FK]],"rg:None")</f>
        <v>FuelSupplier</v>
      </c>
      <c r="X17"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7" s="8" t="str">
        <f>IF(LEN(Table2[[#This Row],[!Unique]])&gt;0,IF(Table2[[#This Row],[!Type]] = "id", "rg:None","rg:True"),"rg:None")</f>
        <v>rg:None</v>
      </c>
    </row>
    <row r="18" spans="1:25" s="4" customFormat="1" ht="28.8" customHeight="1" x14ac:dyDescent="0.3">
      <c r="A18" s="50" t="s">
        <v>141</v>
      </c>
      <c r="B18" s="44" t="s">
        <v>8</v>
      </c>
      <c r="C18" s="5"/>
      <c r="D18" s="82" t="s">
        <v>321</v>
      </c>
      <c r="E18" s="68" t="s">
        <v>191</v>
      </c>
      <c r="F18" s="44" t="s">
        <v>134</v>
      </c>
      <c r="G18" s="20" t="s">
        <v>38</v>
      </c>
      <c r="I18" s="5" t="str">
        <f t="shared" si="1"/>
        <v>Defs</v>
      </c>
      <c r="J18" s="8" t="str">
        <f>IF(Table2[[#This Row],[!Type]]=J$1, J$1,"rg:None")</f>
        <v>rg:None</v>
      </c>
      <c r="K18" s="8" t="str">
        <f>IF(Table2[[#This Row],[!Type]]=K$1, K$1,"rg:None")</f>
        <v>rg:None</v>
      </c>
      <c r="L18" s="8" t="str">
        <f>IF(Table2[[#This Row],[!Type]]=L$1, L$1,"rg:None")</f>
        <v>rg:None</v>
      </c>
      <c r="M18" s="8" t="str">
        <f>IF(Table2[[#This Row],[!Type]]=M$1, M$1,"rg:None")</f>
        <v>rg:None</v>
      </c>
      <c r="N18" s="8" t="str">
        <f>IF(Table2[[#This Row],[!Type]]=N$1, N$1,"rg:None")</f>
        <v>rg:None</v>
      </c>
      <c r="O18" s="8" t="str">
        <f>IF(Table2[[#This Row],[!Type]]=O$1, O$1,"rg:None")</f>
        <v>rg:None</v>
      </c>
      <c r="P18" s="5" t="str">
        <f>IF(Table2[[#This Row],[!Type]]=P$1, P$1,"rg:None")</f>
        <v>rg:None</v>
      </c>
      <c r="Q18" s="5" t="str">
        <f>IF(Table2[[#This Row],[!Type]]=Q$1, Q$1,"rg:None")</f>
        <v>ref</v>
      </c>
      <c r="R18" s="5" t="str">
        <f>IF(Table2[[#This Row],[!Type]]=R$1, R$1,"rg:None")</f>
        <v>rg:None</v>
      </c>
      <c r="S18" s="5" t="str">
        <f>IF(Table2[[#This Row],[!Type]]=S$1, S$1,"rg:None")</f>
        <v>rg:None</v>
      </c>
      <c r="T18" s="8" t="str">
        <f>IF(LEN(Table2[[#This Row],[!Length]]) &gt; 0, Table2[[#This Row],[!Length]], "rg:None")</f>
        <v>rg:None</v>
      </c>
      <c r="U18" s="8" t="str">
        <f>IF(LEN(Table2[[#This Row],[!Name]]) &gt; 0, Table2[[#This Row],[!Name]], "rg:None")</f>
        <v>creditTradeStatusFK</v>
      </c>
      <c r="V18" s="8" t="str">
        <f>IF(LEN(Table2[[#This Row],[!Description]]) &gt; 0, Table2[[#This Row],[!Description]], "rg:None")</f>
        <v>A foreign key reference to a CreditTradeStatus indicating the Credit Trade Status after the update.</v>
      </c>
      <c r="W18" s="8" t="str">
        <f>IF(LEN(Table2[[#This Row],[!FK]])&gt;0,Table2[[#This Row],[!FK]],"rg:None")</f>
        <v>CreditTradeStatus</v>
      </c>
      <c r="X18"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8" s="8" t="str">
        <f>IF(LEN(Table2[[#This Row],[!Unique]])&gt;0,IF(Table2[[#This Row],[!Type]] = "id", "rg:None","rg:True"),"rg:None")</f>
        <v>rg:None</v>
      </c>
    </row>
    <row r="19" spans="1:25" s="4" customFormat="1" ht="28.8" customHeight="1" x14ac:dyDescent="0.3">
      <c r="A19" s="50" t="s">
        <v>141</v>
      </c>
      <c r="B19" s="44" t="s">
        <v>8</v>
      </c>
      <c r="C19" s="5"/>
      <c r="D19" s="82" t="s">
        <v>324</v>
      </c>
      <c r="E19" s="69" t="s">
        <v>263</v>
      </c>
      <c r="F19" s="44" t="s">
        <v>135</v>
      </c>
      <c r="G19" s="70" t="s">
        <v>38</v>
      </c>
      <c r="I19" s="5" t="str">
        <f t="shared" si="1"/>
        <v>Defs</v>
      </c>
      <c r="J19" s="8" t="str">
        <f>IF(Table2[[#This Row],[!Type]]=J$1, J$1,"rg:None")</f>
        <v>rg:None</v>
      </c>
      <c r="K19" s="8" t="str">
        <f>IF(Table2[[#This Row],[!Type]]=K$1, K$1,"rg:None")</f>
        <v>rg:None</v>
      </c>
      <c r="L19" s="8" t="str">
        <f>IF(Table2[[#This Row],[!Type]]=L$1, L$1,"rg:None")</f>
        <v>rg:None</v>
      </c>
      <c r="M19" s="8" t="str">
        <f>IF(Table2[[#This Row],[!Type]]=M$1, M$1,"rg:None")</f>
        <v>rg:None</v>
      </c>
      <c r="N19" s="8" t="str">
        <f>IF(Table2[[#This Row],[!Type]]=N$1, N$1,"rg:None")</f>
        <v>rg:None</v>
      </c>
      <c r="O19" s="8" t="str">
        <f>IF(Table2[[#This Row],[!Type]]=O$1, O$1,"rg:None")</f>
        <v>rg:None</v>
      </c>
      <c r="P19" s="5" t="str">
        <f>IF(Table2[[#This Row],[!Type]]=P$1, P$1,"rg:None")</f>
        <v>rg:None</v>
      </c>
      <c r="Q19" s="5" t="str">
        <f>IF(Table2[[#This Row],[!Type]]=Q$1, Q$1,"rg:None")</f>
        <v>ref</v>
      </c>
      <c r="R19" s="5" t="str">
        <f>IF(Table2[[#This Row],[!Type]]=R$1, R$1,"rg:None")</f>
        <v>rg:None</v>
      </c>
      <c r="S19" s="5" t="str">
        <f>IF(Table2[[#This Row],[!Type]]=S$1, S$1,"rg:None")</f>
        <v>rg:None</v>
      </c>
      <c r="T19" s="8" t="str">
        <f>IF(LEN(Table2[[#This Row],[!Length]]) &gt; 0, Table2[[#This Row],[!Length]], "rg:None")</f>
        <v>rg:None</v>
      </c>
      <c r="U19" s="8" t="str">
        <f>IF(LEN(Table2[[#This Row],[!Name]]) &gt; 0, Table2[[#This Row],[!Name]], "rg:None")</f>
        <v>creditTradeTypeFK</v>
      </c>
      <c r="V19" s="8" t="str">
        <f>IF(LEN(Table2[[#This Row],[!Description]]) &gt; 0, Table2[[#This Row],[!Description]], "rg:None")</f>
        <v>A foreign key reference to a CreditTradeType after the update.</v>
      </c>
      <c r="W19" s="8" t="str">
        <f>IF(LEN(Table2[[#This Row],[!FK]])&gt;0,Table2[[#This Row],[!FK]],"rg:None")</f>
        <v>CreditTradeType</v>
      </c>
      <c r="X19"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9" s="8" t="str">
        <f>IF(LEN(Table2[[#This Row],[!Unique]])&gt;0,IF(Table2[[#This Row],[!Type]] = "id", "rg:None","rg:True"),"rg:None")</f>
        <v>rg:None</v>
      </c>
    </row>
    <row r="20" spans="1:25" s="4" customFormat="1" ht="28.8" customHeight="1" x14ac:dyDescent="0.3">
      <c r="A20" s="50" t="s">
        <v>141</v>
      </c>
      <c r="B20" s="29" t="s">
        <v>12</v>
      </c>
      <c r="C20" s="5"/>
      <c r="D20" s="29" t="s">
        <v>128</v>
      </c>
      <c r="E20" s="68" t="s">
        <v>190</v>
      </c>
      <c r="F20" s="6"/>
      <c r="G20" s="21" t="s">
        <v>38</v>
      </c>
      <c r="H20" s="14"/>
      <c r="I20" s="4" t="str">
        <f t="shared" ref="I20:I53" si="2">IF(LEN(A20) &gt; 0,"Defs","-")</f>
        <v>Defs</v>
      </c>
      <c r="J20" s="13" t="str">
        <f>IF(Table2[[#This Row],[!Type]]=J$1, J$1,"rg:None")</f>
        <v>rg:None</v>
      </c>
      <c r="K20" s="13" t="str">
        <f>IF(Table2[[#This Row],[!Type]]=K$1, K$1,"rg:None")</f>
        <v>rg:None</v>
      </c>
      <c r="L20" s="13" t="str">
        <f>IF(Table2[[#This Row],[!Type]]=L$1, L$1,"rg:None")</f>
        <v>rg:None</v>
      </c>
      <c r="M20" s="13" t="str">
        <f>IF(Table2[[#This Row],[!Type]]=M$1, M$1,"rg:None")</f>
        <v>rg:None</v>
      </c>
      <c r="N20" s="13" t="str">
        <f>IF(Table2[[#This Row],[!Type]]=N$1, N$1,"rg:None")</f>
        <v>integer</v>
      </c>
      <c r="O20" s="13"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13" t="str">
        <f>IF(LEN(Table2[[#This Row],[!Length]]) &gt; 0, Table2[[#This Row],[!Length]], "rg:None")</f>
        <v>rg:None</v>
      </c>
      <c r="U20" s="13" t="str">
        <f>IF(LEN(Table2[[#This Row],[!Name]]) &gt; 0, Table2[[#This Row],[!Name]], "rg:None")</f>
        <v>newNumberOfCredits</v>
      </c>
      <c r="V20" s="13" t="str">
        <f>IF(LEN(Table2[[#This Row],[!Description]]) &gt; 0, Table2[[#This Row],[!Description]], "rg:None")</f>
        <v>The number of credits involved in the Credit Trade after the update.</v>
      </c>
      <c r="W20" s="13" t="str">
        <f>IF(LEN(Table2[[#This Row],[!FK]])&gt;0,Table2[[#This Row],[!FK]],"rg:None")</f>
        <v>rg:None</v>
      </c>
      <c r="X20"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0" s="13" t="str">
        <f>IF(LEN(Table2[[#This Row],[!Unique]])&gt;0,IF(Table2[[#This Row],[!Type]] = "id", "rg:None","rg:True"),"rg:None")</f>
        <v>rg:None</v>
      </c>
    </row>
    <row r="21" spans="1:25" s="4" customFormat="1" ht="28.8" customHeight="1" x14ac:dyDescent="0.3">
      <c r="A21" s="50" t="s">
        <v>141</v>
      </c>
      <c r="B21" s="29" t="s">
        <v>82</v>
      </c>
      <c r="C21" s="5"/>
      <c r="D21" s="50" t="s">
        <v>156</v>
      </c>
      <c r="E21" s="69" t="s">
        <v>264</v>
      </c>
      <c r="F21" s="5"/>
      <c r="G21" s="5"/>
      <c r="H21" s="5"/>
      <c r="I21" s="4" t="str">
        <f t="shared" si="2"/>
        <v>Defs</v>
      </c>
      <c r="J21" s="13" t="str">
        <f>IF(Table2[[#This Row],[!Type]]=J$1, J$1,"rg:None")</f>
        <v>rg:None</v>
      </c>
      <c r="K21" s="13" t="str">
        <f>IF(Table2[[#This Row],[!Type]]=K$1, K$1,"rg:None")</f>
        <v>rg:None</v>
      </c>
      <c r="L21" s="13" t="str">
        <f>IF(Table2[[#This Row],[!Type]]=L$1, L$1,"rg:None")</f>
        <v>rg:None</v>
      </c>
      <c r="M21" s="13" t="str">
        <f>IF(Table2[[#This Row],[!Type]]=M$1, M$1,"rg:None")</f>
        <v>rg:None</v>
      </c>
      <c r="N21" s="13" t="str">
        <f>IF(Table2[[#This Row],[!Type]]=N$1, N$1,"rg:None")</f>
        <v>rg:None</v>
      </c>
      <c r="O21" s="13" t="str">
        <f>IF(Table2[[#This Row],[!Type]]=O$1, O$1,"rg:None")</f>
        <v>float</v>
      </c>
      <c r="P21" s="4" t="str">
        <f>IF(Table2[[#This Row],[!Type]]=P$1, P$1,"rg:None")</f>
        <v>rg:None</v>
      </c>
      <c r="Q21" s="4" t="str">
        <f>IF(Table2[[#This Row],[!Type]]=Q$1, Q$1,"rg:None")</f>
        <v>rg:None</v>
      </c>
      <c r="R21" s="4" t="str">
        <f>IF(Table2[[#This Row],[!Type]]=R$1, R$1,"rg:None")</f>
        <v>rg:None</v>
      </c>
      <c r="S21" s="4" t="str">
        <f>IF(Table2[[#This Row],[!Type]]=S$1, S$1,"rg:None")</f>
        <v>rg:None</v>
      </c>
      <c r="T21" s="13" t="str">
        <f>IF(LEN(Table2[[#This Row],[!Length]]) &gt; 0, Table2[[#This Row],[!Length]], "rg:None")</f>
        <v>rg:None</v>
      </c>
      <c r="U21" s="13" t="str">
        <f>IF(LEN(Table2[[#This Row],[!Name]]) &gt; 0, Table2[[#This Row],[!Name]], "rg:None")</f>
        <v>newFairMarketValuePerCredit</v>
      </c>
      <c r="V21" s="13" t="str">
        <f>IF(LEN(Table2[[#This Row],[!Description]]) &gt; 0, Table2[[#This Row],[!Description]], "rg:None")</f>
        <v>The Fair Market Value per Credit in the Credit Trade after the update.</v>
      </c>
      <c r="W21" s="13" t="str">
        <f>IF(LEN(Table2[[#This Row],[!FK]])&gt;0,Table2[[#This Row],[!FK]],"rg:None")</f>
        <v>rg:None</v>
      </c>
      <c r="X21"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1" s="13" t="str">
        <f>IF(LEN(Table2[[#This Row],[!Unique]])&gt;0,IF(Table2[[#This Row],[!Type]] = "id", "rg:None","rg:True"),"rg:None")</f>
        <v>rg:None</v>
      </c>
    </row>
    <row r="22" spans="1:25" s="4" customFormat="1" ht="43.2" customHeight="1" x14ac:dyDescent="0.3">
      <c r="A22" s="90" t="s">
        <v>141</v>
      </c>
      <c r="B22" s="90" t="s">
        <v>8</v>
      </c>
      <c r="C22" s="5"/>
      <c r="D22" s="90" t="s">
        <v>350</v>
      </c>
      <c r="E22" s="85" t="s">
        <v>346</v>
      </c>
      <c r="F22" s="85" t="s">
        <v>337</v>
      </c>
      <c r="G22" s="14"/>
      <c r="H22" s="14"/>
      <c r="I22" s="4" t="str">
        <f>IF(LEN(A22) &gt; 0,"Defs","-")</f>
        <v>Defs</v>
      </c>
      <c r="J22" s="13" t="str">
        <f>IF(Table2[[#This Row],[!Type]]=J$1, J$1,"rg:None")</f>
        <v>rg:None</v>
      </c>
      <c r="K22" s="13" t="str">
        <f>IF(Table2[[#This Row],[!Type]]=K$1, K$1,"rg:None")</f>
        <v>rg:None</v>
      </c>
      <c r="L22" s="13" t="str">
        <f>IF(Table2[[#This Row],[!Type]]=L$1, L$1,"rg:None")</f>
        <v>rg:None</v>
      </c>
      <c r="M22" s="13" t="str">
        <f>IF(Table2[[#This Row],[!Type]]=M$1, M$1,"rg:None")</f>
        <v>rg:None</v>
      </c>
      <c r="N22" s="13" t="str">
        <f>IF(Table2[[#This Row],[!Type]]=N$1, N$1,"rg:None")</f>
        <v>rg:None</v>
      </c>
      <c r="O22" s="13" t="str">
        <f>IF(Table2[[#This Row],[!Type]]=O$1, O$1,"rg:None")</f>
        <v>rg:None</v>
      </c>
      <c r="P22" s="4" t="str">
        <f>IF(Table2[[#This Row],[!Type]]=P$1, P$1,"rg:None")</f>
        <v>rg:None</v>
      </c>
      <c r="Q22" s="4" t="str">
        <f>IF(Table2[[#This Row],[!Type]]=Q$1, Q$1,"rg:None")</f>
        <v>ref</v>
      </c>
      <c r="R22" s="4" t="str">
        <f>IF(Table2[[#This Row],[!Type]]=R$1, R$1,"rg:None")</f>
        <v>rg:None</v>
      </c>
      <c r="S22" s="4" t="str">
        <f>IF(Table2[[#This Row],[!Type]]=S$1, S$1,"rg:None")</f>
        <v>rg:None</v>
      </c>
      <c r="T22" s="13" t="str">
        <f>IF(LEN(Table2[[#This Row],[!Length]]) &gt; 0, Table2[[#This Row],[!Length]], "rg:None")</f>
        <v>rg:None</v>
      </c>
      <c r="U22" s="13" t="str">
        <f>IF(LEN(Table2[[#This Row],[!Name]]) &gt; 0, Table2[[#This Row],[!Name]], "rg:None")</f>
        <v>newCreditTradeZeroReasonFK</v>
      </c>
      <c r="V22" s="13" t="str">
        <f>IF(LEN(Table2[[#This Row],[!Description]]) &gt; 0, Table2[[#This Row],[!Description]], "rg:None")</f>
        <v>A foreign key reference to the Credit Trade Zero Reason.</v>
      </c>
      <c r="W22" s="13" t="str">
        <f>IF(LEN(Table2[[#This Row],[!FK]])&gt;0,Table2[[#This Row],[!FK]],"rg:None")</f>
        <v>CreditTradeZeroReason</v>
      </c>
      <c r="X22"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2" s="13" t="str">
        <f>IF(LEN(Table2[[#This Row],[!Unique]])&gt;0,IF(Table2[[#This Row],[!Type]] = "id", "rg:None","rg:True"),"rg:None")</f>
        <v>rg:None</v>
      </c>
    </row>
    <row r="23" spans="1:25" s="4" customFormat="1" ht="28.8" customHeight="1" x14ac:dyDescent="0.3">
      <c r="A23" s="50" t="s">
        <v>141</v>
      </c>
      <c r="B23" s="29" t="s">
        <v>11</v>
      </c>
      <c r="C23" s="5"/>
      <c r="D23" s="50" t="s">
        <v>155</v>
      </c>
      <c r="E23" s="68" t="s">
        <v>189</v>
      </c>
      <c r="F23" s="5" t="s">
        <v>5</v>
      </c>
      <c r="I23" s="5" t="str">
        <f>IF(LEN(A23) &gt; 0,"Defs","-")</f>
        <v>Defs</v>
      </c>
      <c r="J23" s="8" t="str">
        <f>IF(Table2[[#This Row],[!Type]]=J$1, J$1,"rg:None")</f>
        <v>rg:None</v>
      </c>
      <c r="K23" s="8" t="str">
        <f>IF(Table2[[#This Row],[!Type]]=K$1, K$1,"rg:None")</f>
        <v>rg:None</v>
      </c>
      <c r="L23" s="8" t="str">
        <f>IF(Table2[[#This Row],[!Type]]=L$1, L$1,"rg:None")</f>
        <v>datetime</v>
      </c>
      <c r="M23" s="8" t="str">
        <f>IF(Table2[[#This Row],[!Type]]=M$1, M$1,"rg:None")</f>
        <v>rg:None</v>
      </c>
      <c r="N23" s="8" t="str">
        <f>IF(Table2[[#This Row],[!Type]]=N$1, N$1,"rg:None")</f>
        <v>rg:None</v>
      </c>
      <c r="O23" s="8" t="str">
        <f>IF(Table2[[#This Row],[!Type]]=O$1, O$1,"rg:None")</f>
        <v>rg:None</v>
      </c>
      <c r="P23" s="5" t="str">
        <f>IF(Table2[[#This Row],[!Type]]=P$1, P$1,"rg:None")</f>
        <v>rg:None</v>
      </c>
      <c r="Q23" s="5" t="str">
        <f>IF(Table2[[#This Row],[!Type]]=Q$1, Q$1,"rg:None")</f>
        <v>rg:None</v>
      </c>
      <c r="R23" s="5" t="str">
        <f>IF(Table2[[#This Row],[!Type]]=R$1, R$1,"rg:None")</f>
        <v>rg:None</v>
      </c>
      <c r="S23" s="5" t="str">
        <f>IF(Table2[[#This Row],[!Type]]=S$1, S$1,"rg:None")</f>
        <v>rg:None</v>
      </c>
      <c r="T23" s="8" t="str">
        <f>IF(LEN(Table2[[#This Row],[!Length]]) &gt; 0, Table2[[#This Row],[!Length]], "rg:None")</f>
        <v>rg:None</v>
      </c>
      <c r="U23" s="8" t="str">
        <f>IF(LEN(Table2[[#This Row],[!Name]]) &gt; 0, Table2[[#This Row],[!Name]], "rg:None")</f>
        <v>newTradeEffectiveDate</v>
      </c>
      <c r="V23" s="8" t="str">
        <f>IF(LEN(Table2[[#This Row],[!Description]]) &gt; 0, Table2[[#This Row],[!Description]], "rg:None")</f>
        <v>The Trade Effective Date of the Credit Trade after the update.</v>
      </c>
      <c r="W23" s="8" t="str">
        <f>IF(LEN(Table2[[#This Row],[!FK]])&gt;0,Table2[[#This Row],[!FK]],"rg:None")</f>
        <v>rg:None</v>
      </c>
      <c r="X23"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3" s="8" t="str">
        <f>IF(LEN(Table2[[#This Row],[!Unique]])&gt;0,IF(Table2[[#This Row],[!Type]] = "id", "rg:None","rg:True"),"rg:None")</f>
        <v>rg:None</v>
      </c>
    </row>
    <row r="24" spans="1:25" s="4" customFormat="1" ht="28.8" customHeight="1" x14ac:dyDescent="0.3">
      <c r="A24" s="50" t="s">
        <v>141</v>
      </c>
      <c r="B24" s="61" t="s">
        <v>7</v>
      </c>
      <c r="C24" s="5">
        <v>4000</v>
      </c>
      <c r="D24" s="61" t="s">
        <v>187</v>
      </c>
      <c r="E24" s="69" t="s">
        <v>265</v>
      </c>
      <c r="F24" s="6"/>
      <c r="G24" s="14"/>
      <c r="H24" s="14"/>
      <c r="I24" s="4" t="str">
        <f>IF(LEN(A24) &gt; 0,"Defs","-")</f>
        <v>Defs</v>
      </c>
      <c r="J24" s="13" t="str">
        <f>IF(Table2[[#This Row],[!Type]]=J$1, J$1,"rg:None")</f>
        <v>rg:None</v>
      </c>
      <c r="K24" s="13" t="str">
        <f>IF(Table2[[#This Row],[!Type]]=K$1, K$1,"rg:None")</f>
        <v>rg:None</v>
      </c>
      <c r="L24" s="13" t="str">
        <f>IF(Table2[[#This Row],[!Type]]=L$1, L$1,"rg:None")</f>
        <v>rg:None</v>
      </c>
      <c r="M24" s="13" t="str">
        <f>IF(Table2[[#This Row],[!Type]]=M$1, M$1,"rg:None")</f>
        <v>rg:None</v>
      </c>
      <c r="N24" s="13" t="str">
        <f>IF(Table2[[#This Row],[!Type]]=N$1, N$1,"rg:None")</f>
        <v>rg:None</v>
      </c>
      <c r="O24" s="13" t="str">
        <f>IF(Table2[[#This Row],[!Type]]=O$1, O$1,"rg:None")</f>
        <v>rg:None</v>
      </c>
      <c r="P24" s="4" t="str">
        <f>IF(Table2[[#This Row],[!Type]]=P$1, P$1,"rg:None")</f>
        <v>rg:None</v>
      </c>
      <c r="Q24" s="4" t="str">
        <f>IF(Table2[[#This Row],[!Type]]=Q$1, Q$1,"rg:None")</f>
        <v>rg:None</v>
      </c>
      <c r="R24" s="4" t="str">
        <f>IF(Table2[[#This Row],[!Type]]=R$1, R$1,"rg:None")</f>
        <v>string</v>
      </c>
      <c r="S24" s="4" t="str">
        <f>IF(Table2[[#This Row],[!Type]]=S$1, S$1,"rg:None")</f>
        <v>rg:None</v>
      </c>
      <c r="T24" s="13">
        <f>IF(LEN(Table2[[#This Row],[!Length]]) &gt; 0, Table2[[#This Row],[!Length]], "rg:None")</f>
        <v>4000</v>
      </c>
      <c r="U24" s="13" t="str">
        <f>IF(LEN(Table2[[#This Row],[!Name]]) &gt; 0, Table2[[#This Row],[!Name]], "rg:None")</f>
        <v>note</v>
      </c>
      <c r="V24" s="13" t="str">
        <f>IF(LEN(Table2[[#This Row],[!Description]]) &gt; 0, Table2[[#This Row],[!Description]], "rg:None")</f>
        <v>A note entered by the user making the update about the Credit Trade update.</v>
      </c>
      <c r="W24" s="13" t="str">
        <f>IF(LEN(Table2[[#This Row],[!FK]])&gt;0,Table2[[#This Row],[!FK]],"rg:None")</f>
        <v>rg:None</v>
      </c>
      <c r="X24"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4" s="13" t="str">
        <f>IF(LEN(Table2[[#This Row],[!Unique]])&gt;0,IF(Table2[[#This Row],[!Type]] = "id", "rg:None","rg:True"),"rg:None")</f>
        <v>rg:None</v>
      </c>
    </row>
    <row r="25" spans="1:25" s="4" customFormat="1" ht="43.2" customHeight="1" x14ac:dyDescent="0.3">
      <c r="A25" s="50" t="s">
        <v>141</v>
      </c>
      <c r="B25" s="61" t="s">
        <v>10</v>
      </c>
      <c r="C25" s="5"/>
      <c r="D25" s="64" t="s">
        <v>203</v>
      </c>
      <c r="E25" s="69" t="s">
        <v>266</v>
      </c>
      <c r="F25" s="6"/>
      <c r="G25" s="14"/>
      <c r="H25" s="14"/>
      <c r="I25" s="4" t="str">
        <f t="shared" ref="I25" si="3">IF(LEN(A25) &gt; 0,"Defs","-")</f>
        <v>Defs</v>
      </c>
      <c r="J25" s="13" t="str">
        <f>IF(Table2[[#This Row],[!Type]]=J$1, J$1,"rg:None")</f>
        <v>boolean</v>
      </c>
      <c r="K25" s="13" t="str">
        <f>IF(Table2[[#This Row],[!Type]]=K$1, K$1,"rg:None")</f>
        <v>rg:None</v>
      </c>
      <c r="L25" s="13" t="str">
        <f>IF(Table2[[#This Row],[!Type]]=L$1, L$1,"rg:None")</f>
        <v>rg:None</v>
      </c>
      <c r="M25" s="13" t="str">
        <f>IF(Table2[[#This Row],[!Type]]=M$1, M$1,"rg:None")</f>
        <v>rg:None</v>
      </c>
      <c r="N25" s="13" t="str">
        <f>IF(Table2[[#This Row],[!Type]]=N$1, N$1,"rg:None")</f>
        <v>rg:None</v>
      </c>
      <c r="O25" s="13"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13" t="str">
        <f>IF(LEN(Table2[[#This Row],[!Length]]) &gt; 0, Table2[[#This Row],[!Length]], "rg:None")</f>
        <v>rg:None</v>
      </c>
      <c r="U25" s="13" t="str">
        <f>IF(LEN(Table2[[#This Row],[!Name]]) &gt; 0, Table2[[#This Row],[!Name]], "rg:None")</f>
        <v>isInternalHistoryRecord</v>
      </c>
      <c r="V25" s="13" t="str">
        <f>IF(LEN(Table2[[#This Row],[!Description]]) &gt; 0, Table2[[#This Row],[!Description]], "rg:None")</f>
        <v>True if the Credit Trade history record is to be visible only to those in the organization of the user that made the update.</v>
      </c>
      <c r="W25" s="13" t="str">
        <f>IF(LEN(Table2[[#This Row],[!FK]])&gt;0,Table2[[#This Row],[!FK]],"rg:None")</f>
        <v>rg:None</v>
      </c>
      <c r="X25"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5" s="13" t="str">
        <f>IF(LEN(Table2[[#This Row],[!Unique]])&gt;0,IF(Table2[[#This Row],[!Type]] = "id", "rg:None","rg:True"),"rg:None")</f>
        <v>rg:None</v>
      </c>
    </row>
    <row r="26" spans="1:25" s="4" customFormat="1" ht="28.8" customHeight="1" x14ac:dyDescent="0.3">
      <c r="A26" s="44" t="s">
        <v>134</v>
      </c>
      <c r="B26" s="44" t="s">
        <v>4</v>
      </c>
      <c r="C26" s="5"/>
      <c r="D26" s="44" t="s">
        <v>134</v>
      </c>
      <c r="E26" s="68" t="s">
        <v>192</v>
      </c>
      <c r="F26" s="6"/>
      <c r="G26" s="14"/>
      <c r="H26" s="14"/>
      <c r="I26" s="4" t="str">
        <f t="shared" ref="I26:I34" si="4">IF(LEN(A26) &gt; 0,"Defs","-")</f>
        <v>Defs</v>
      </c>
      <c r="J26" s="13" t="str">
        <f>IF(Table2[[#This Row],[!Type]]=J$1, J$1,"rg:None")</f>
        <v>rg:None</v>
      </c>
      <c r="K26" s="13" t="str">
        <f>IF(Table2[[#This Row],[!Type]]=K$1, K$1,"rg:None")</f>
        <v>rg:None</v>
      </c>
      <c r="L26" s="13" t="str">
        <f>IF(Table2[[#This Row],[!Type]]=L$1, L$1,"rg:None")</f>
        <v>rg:None</v>
      </c>
      <c r="M26" s="13" t="str">
        <f>IF(Table2[[#This Row],[!Type]]=M$1, M$1,"rg:None")</f>
        <v>rg:None</v>
      </c>
      <c r="N26" s="13" t="str">
        <f>IF(Table2[[#This Row],[!Type]]=N$1, N$1,"rg:None")</f>
        <v>rg:None</v>
      </c>
      <c r="O26" s="13" t="str">
        <f>IF(Table2[[#This Row],[!Type]]=O$1, O$1,"rg:None")</f>
        <v>rg:None</v>
      </c>
      <c r="P26" s="4" t="str">
        <f>IF(Table2[[#This Row],[!Type]]=P$1, P$1,"rg:None")</f>
        <v>rg:None</v>
      </c>
      <c r="Q26" s="4" t="str">
        <f>IF(Table2[[#This Row],[!Type]]=Q$1, Q$1,"rg:None")</f>
        <v>rg:None</v>
      </c>
      <c r="R26" s="4" t="str">
        <f>IF(Table2[[#This Row],[!Type]]=R$1, R$1,"rg:None")</f>
        <v>rg:None</v>
      </c>
      <c r="S26" s="4" t="str">
        <f>IF(Table2[[#This Row],[!Type]]=S$1, S$1,"rg:None")</f>
        <v>table</v>
      </c>
      <c r="T26" s="13" t="str">
        <f>IF(LEN(Table2[[#This Row],[!Length]]) &gt; 0, Table2[[#This Row],[!Length]], "rg:None")</f>
        <v>rg:None</v>
      </c>
      <c r="U26" s="13" t="str">
        <f>IF(LEN(Table2[[#This Row],[!Name]]) &gt; 0, Table2[[#This Row],[!Name]], "rg:None")</f>
        <v>CreditTradeStatus</v>
      </c>
      <c r="V26" s="13" t="str">
        <f>IF(LEN(Table2[[#This Row],[!Description]]) &gt; 0, Table2[[#This Row],[!Description]], "rg:None")</f>
        <v>The possible status values associated with a Credit Trade.</v>
      </c>
      <c r="W26" s="13" t="str">
        <f>IF(LEN(Table2[[#This Row],[!FK]])&gt;0,Table2[[#This Row],[!FK]],"rg:None")</f>
        <v>rg:None</v>
      </c>
      <c r="X26" s="13" t="str">
        <f>IF(LEN(concatif2(A:A,Table2[[#This Row],[!Table]],G:G,"Y",D:D,",")) &gt; 0,"rg:[ { 'req' : '"&amp;concatif2(A:A,Table2[[#This Row],[!Table]],G:G,"Y",D:D,"' }, { 'req': '")&amp;"'} ]","rg:[]")</f>
        <v>rg:[ { 'req' : 'id' }, { 'req': 'effectiveDate'} ]</v>
      </c>
      <c r="Y26" s="13" t="str">
        <f>IF(LEN(Table2[[#This Row],[!Unique]])&gt;0,IF(Table2[[#This Row],[!Type]] = "id", "rg:None","rg:True"),"rg:None")</f>
        <v>rg:None</v>
      </c>
    </row>
    <row r="27" spans="1:25" s="4" customFormat="1" ht="28.8" x14ac:dyDescent="0.3">
      <c r="A27" s="44" t="s">
        <v>134</v>
      </c>
      <c r="B27" s="44" t="s">
        <v>6</v>
      </c>
      <c r="C27" s="5"/>
      <c r="D27" s="44" t="s">
        <v>6</v>
      </c>
      <c r="E27" s="68" t="s">
        <v>222</v>
      </c>
      <c r="F27" s="6"/>
      <c r="G27" s="47" t="s">
        <v>38</v>
      </c>
      <c r="H27" s="47" t="s">
        <v>38</v>
      </c>
      <c r="I27" s="4" t="str">
        <f t="shared" si="4"/>
        <v>Defs</v>
      </c>
      <c r="J27" s="13" t="str">
        <f>IF(Table2[[#This Row],[!Type]]=J$1, J$1,"rg:None")</f>
        <v>rg:None</v>
      </c>
      <c r="K27" s="13" t="str">
        <f>IF(Table2[[#This Row],[!Type]]=K$1, K$1,"rg:None")</f>
        <v>rg:None</v>
      </c>
      <c r="L27" s="13" t="str">
        <f>IF(Table2[[#This Row],[!Type]]=L$1, L$1,"rg:None")</f>
        <v>rg:None</v>
      </c>
      <c r="M27" s="13" t="str">
        <f>IF(Table2[[#This Row],[!Type]]=M$1, M$1,"rg:None")</f>
        <v>id</v>
      </c>
      <c r="N27" s="13" t="str">
        <f>IF(Table2[[#This Row],[!Type]]=N$1, N$1,"rg:None")</f>
        <v>rg:None</v>
      </c>
      <c r="O27" s="13" t="str">
        <f>IF(Table2[[#This Row],[!Type]]=O$1, O$1,"rg:None")</f>
        <v>rg:None</v>
      </c>
      <c r="P27" s="4" t="str">
        <f>IF(Table2[[#This Row],[!Type]]=P$1, P$1,"rg:None")</f>
        <v>rg:None</v>
      </c>
      <c r="Q27" s="4" t="str">
        <f>IF(Table2[[#This Row],[!Type]]=Q$1, Q$1,"rg:None")</f>
        <v>rg:None</v>
      </c>
      <c r="R27" s="4" t="str">
        <f>IF(Table2[[#This Row],[!Type]]=R$1, R$1,"rg:None")</f>
        <v>rg:None</v>
      </c>
      <c r="S27" s="4" t="str">
        <f>IF(Table2[[#This Row],[!Type]]=S$1, S$1,"rg:None")</f>
        <v>rg:None</v>
      </c>
      <c r="T27" s="13" t="str">
        <f>IF(LEN(Table2[[#This Row],[!Length]]) &gt; 0, Table2[[#This Row],[!Length]], "rg:None")</f>
        <v>rg:None</v>
      </c>
      <c r="U27" s="13" t="str">
        <f>IF(LEN(Table2[[#This Row],[!Name]]) &gt; 0, Table2[[#This Row],[!Name]], "rg:None")</f>
        <v>id</v>
      </c>
      <c r="V27" s="13" t="str">
        <f>IF(LEN(Table2[[#This Row],[!Description]]) &gt; 0, Table2[[#This Row],[!Description]], "rg:None")</f>
        <v>A system-generated unique identifier for a Credit Trade Status.</v>
      </c>
      <c r="W27" s="13" t="str">
        <f>IF(LEN(Table2[[#This Row],[!FK]])&gt;0,Table2[[#This Row],[!FK]],"rg:None")</f>
        <v>rg:None</v>
      </c>
      <c r="X27" s="13" t="str">
        <f>IF(LEN(concatif2(A:A,Table2[[#This Row],[!Table]],G:G,"Y",D:D,",")) &gt; 0,"rg:[ { 'req' : '"&amp;concatif2(A:A,Table2[[#This Row],[!Table]],G:G,"Y",D:D,"' }, { 'req': '")&amp;"'} ]","rg:[]")</f>
        <v>rg:[ { 'req' : 'id' }, { 'req': 'effectiveDate'} ]</v>
      </c>
      <c r="Y27" s="13" t="str">
        <f>IF(LEN(Table2[[#This Row],[!Unique]])&gt;0,IF(Table2[[#This Row],[!Type]] = "id", "rg:None","rg:True"),"rg:None")</f>
        <v>rg:None</v>
      </c>
    </row>
    <row r="28" spans="1:25" s="4" customFormat="1" ht="16.05" customHeight="1" x14ac:dyDescent="0.3">
      <c r="A28" s="44" t="s">
        <v>134</v>
      </c>
      <c r="B28" s="44" t="s">
        <v>7</v>
      </c>
      <c r="C28" s="5">
        <v>25</v>
      </c>
      <c r="D28" s="44" t="s">
        <v>9</v>
      </c>
      <c r="E28" s="69" t="s">
        <v>267</v>
      </c>
      <c r="F28" s="6"/>
      <c r="G28" s="14"/>
      <c r="H28" s="14"/>
      <c r="I28" s="4" t="str">
        <f t="shared" si="4"/>
        <v>Defs</v>
      </c>
      <c r="J28" s="13" t="str">
        <f>IF(Table2[[#This Row],[!Type]]=J$1, J$1,"rg:None")</f>
        <v>rg:None</v>
      </c>
      <c r="K28" s="13" t="str">
        <f>IF(Table2[[#This Row],[!Type]]=K$1, K$1,"rg:None")</f>
        <v>rg:None</v>
      </c>
      <c r="L28" s="13" t="str">
        <f>IF(Table2[[#This Row],[!Type]]=L$1, L$1,"rg:None")</f>
        <v>rg:None</v>
      </c>
      <c r="M28" s="13" t="str">
        <f>IF(Table2[[#This Row],[!Type]]=M$1, M$1,"rg:None")</f>
        <v>rg:None</v>
      </c>
      <c r="N28" s="13" t="str">
        <f>IF(Table2[[#This Row],[!Type]]=N$1, N$1,"rg:None")</f>
        <v>rg:None</v>
      </c>
      <c r="O28" s="13" t="str">
        <f>IF(Table2[[#This Row],[!Type]]=O$1, O$1,"rg:None")</f>
        <v>rg:None</v>
      </c>
      <c r="P28" s="4" t="str">
        <f>IF(Table2[[#This Row],[!Type]]=P$1, P$1,"rg:None")</f>
        <v>rg:None</v>
      </c>
      <c r="Q28" s="4" t="str">
        <f>IF(Table2[[#This Row],[!Type]]=Q$1, Q$1,"rg:None")</f>
        <v>rg:None</v>
      </c>
      <c r="R28" s="4" t="str">
        <f>IF(Table2[[#This Row],[!Type]]=R$1, R$1,"rg:None")</f>
        <v>string</v>
      </c>
      <c r="S28" s="4" t="str">
        <f>IF(Table2[[#This Row],[!Type]]=S$1, S$1,"rg:None")</f>
        <v>rg:None</v>
      </c>
      <c r="T28" s="13">
        <f>IF(LEN(Table2[[#This Row],[!Length]]) &gt; 0, Table2[[#This Row],[!Length]], "rg:None")</f>
        <v>25</v>
      </c>
      <c r="U28" s="13" t="str">
        <f>IF(LEN(Table2[[#This Row],[!Name]]) &gt; 0, Table2[[#This Row],[!Name]], "rg:None")</f>
        <v>status</v>
      </c>
      <c r="V28" s="13" t="str">
        <f>IF(LEN(Table2[[#This Row],[!Description]]) &gt; 0, Table2[[#This Row],[!Description]], "rg:None")</f>
        <v>The name of the Credit Trade status.</v>
      </c>
      <c r="W28" s="13" t="str">
        <f>IF(LEN(Table2[[#This Row],[!FK]])&gt;0,Table2[[#This Row],[!FK]],"rg:None")</f>
        <v>rg:None</v>
      </c>
      <c r="X28" s="13" t="str">
        <f>IF(LEN(concatif2(A:A,Table2[[#This Row],[!Table]],G:G,"Y",D:D,",")) &gt; 0,"rg:[ { 'req' : '"&amp;concatif2(A:A,Table2[[#This Row],[!Table]],G:G,"Y",D:D,"' }, { 'req': '")&amp;"'} ]","rg:[]")</f>
        <v>rg:[ { 'req' : 'id' }, { 'req': 'effectiveDate'} ]</v>
      </c>
      <c r="Y28" s="13" t="str">
        <f>IF(LEN(Table2[[#This Row],[!Unique]])&gt;0,IF(Table2[[#This Row],[!Type]] = "id", "rg:None","rg:True"),"rg:None")</f>
        <v>rg:None</v>
      </c>
    </row>
    <row r="29" spans="1:25" s="4" customFormat="1" ht="28.8" customHeight="1" x14ac:dyDescent="0.3">
      <c r="A29" s="44" t="s">
        <v>134</v>
      </c>
      <c r="B29" s="55" t="s">
        <v>7</v>
      </c>
      <c r="C29" s="5">
        <v>4000</v>
      </c>
      <c r="D29" s="55" t="s">
        <v>13</v>
      </c>
      <c r="E29" s="68" t="s">
        <v>193</v>
      </c>
      <c r="F29" s="6"/>
      <c r="G29" s="14"/>
      <c r="H29" s="14"/>
      <c r="I29" s="4" t="str">
        <f t="shared" ref="I29:I31" si="5">IF(LEN(A29) &gt; 0,"Defs","-")</f>
        <v>Defs</v>
      </c>
      <c r="J29" s="13" t="str">
        <f>IF(Table2[[#This Row],[!Type]]=J$1, J$1,"rg:None")</f>
        <v>rg:None</v>
      </c>
      <c r="K29" s="13" t="str">
        <f>IF(Table2[[#This Row],[!Type]]=K$1, K$1,"rg:None")</f>
        <v>rg:None</v>
      </c>
      <c r="L29" s="13" t="str">
        <f>IF(Table2[[#This Row],[!Type]]=L$1, L$1,"rg:None")</f>
        <v>rg:None</v>
      </c>
      <c r="M29" s="13" t="str">
        <f>IF(Table2[[#This Row],[!Type]]=M$1, M$1,"rg:None")</f>
        <v>rg:None</v>
      </c>
      <c r="N29" s="13" t="str">
        <f>IF(Table2[[#This Row],[!Type]]=N$1, N$1,"rg:None")</f>
        <v>rg:None</v>
      </c>
      <c r="O29" s="13" t="str">
        <f>IF(Table2[[#This Row],[!Type]]=O$1, O$1,"rg:None")</f>
        <v>rg:None</v>
      </c>
      <c r="P29" s="4" t="str">
        <f>IF(Table2[[#This Row],[!Type]]=P$1, P$1,"rg:None")</f>
        <v>rg:None</v>
      </c>
      <c r="Q29" s="4" t="str">
        <f>IF(Table2[[#This Row],[!Type]]=Q$1, Q$1,"rg:None")</f>
        <v>rg:None</v>
      </c>
      <c r="R29" s="4" t="str">
        <f>IF(Table2[[#This Row],[!Type]]=R$1, R$1,"rg:None")</f>
        <v>string</v>
      </c>
      <c r="S29" s="4" t="str">
        <f>IF(Table2[[#This Row],[!Type]]=S$1, S$1,"rg:None")</f>
        <v>rg:None</v>
      </c>
      <c r="T29" s="13">
        <f>IF(LEN(Table2[[#This Row],[!Length]]) &gt; 0, Table2[[#This Row],[!Length]], "rg:None")</f>
        <v>4000</v>
      </c>
      <c r="U29" s="13" t="str">
        <f>IF(LEN(Table2[[#This Row],[!Name]]) &gt; 0, Table2[[#This Row],[!Name]], "rg:None")</f>
        <v>description</v>
      </c>
      <c r="V29" s="13" t="str">
        <f>IF(LEN(Table2[[#This Row],[!Description]]) &gt; 0, Table2[[#This Row],[!Description]], "rg:None")</f>
        <v>Information about the purpose of the Credit Trade status.</v>
      </c>
      <c r="W29" s="13" t="str">
        <f>IF(LEN(Table2[[#This Row],[!FK]])&gt;0,Table2[[#This Row],[!FK]],"rg:None")</f>
        <v>rg:None</v>
      </c>
      <c r="X29" s="13" t="str">
        <f>IF(LEN(concatif2(A:A,Table2[[#This Row],[!Table]],G:G,"Y",D:D,",")) &gt; 0,"rg:[ { 'req' : '"&amp;concatif2(A:A,Table2[[#This Row],[!Table]],G:G,"Y",D:D,"' }, { 'req': '")&amp;"'} ]","rg:[]")</f>
        <v>rg:[ { 'req' : 'id' }, { 'req': 'effectiveDate'} ]</v>
      </c>
      <c r="Y29" s="13" t="str">
        <f>IF(LEN(Table2[[#This Row],[!Unique]])&gt;0,IF(Table2[[#This Row],[!Type]] = "id", "rg:None","rg:True"),"rg:None")</f>
        <v>rg:None</v>
      </c>
    </row>
    <row r="30" spans="1:25" s="4" customFormat="1" ht="28.8" customHeight="1" x14ac:dyDescent="0.3">
      <c r="A30" s="44" t="s">
        <v>134</v>
      </c>
      <c r="B30" s="55" t="s">
        <v>11</v>
      </c>
      <c r="C30" s="5"/>
      <c r="D30" s="55" t="s">
        <v>158</v>
      </c>
      <c r="E30" s="68" t="s">
        <v>197</v>
      </c>
      <c r="F30" s="6"/>
      <c r="G30" s="57" t="s">
        <v>38</v>
      </c>
      <c r="H30" s="14"/>
      <c r="I30" s="4" t="str">
        <f t="shared" si="5"/>
        <v>Defs</v>
      </c>
      <c r="J30" s="13" t="str">
        <f>IF(Table2[[#This Row],[!Type]]=J$1, J$1,"rg:None")</f>
        <v>rg:None</v>
      </c>
      <c r="K30" s="13" t="str">
        <f>IF(Table2[[#This Row],[!Type]]=K$1, K$1,"rg:None")</f>
        <v>rg:None</v>
      </c>
      <c r="L30" s="13" t="str">
        <f>IF(Table2[[#This Row],[!Type]]=L$1, L$1,"rg:None")</f>
        <v>datetime</v>
      </c>
      <c r="M30" s="13" t="str">
        <f>IF(Table2[[#This Row],[!Type]]=M$1, M$1,"rg:None")</f>
        <v>rg:None</v>
      </c>
      <c r="N30" s="13" t="str">
        <f>IF(Table2[[#This Row],[!Type]]=N$1, N$1,"rg:None")</f>
        <v>rg:None</v>
      </c>
      <c r="O30" s="13"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13" t="str">
        <f>IF(LEN(Table2[[#This Row],[!Length]]) &gt; 0, Table2[[#This Row],[!Length]], "rg:None")</f>
        <v>rg:None</v>
      </c>
      <c r="U30" s="13" t="str">
        <f>IF(LEN(Table2[[#This Row],[!Name]]) &gt; 0, Table2[[#This Row],[!Name]], "rg:None")</f>
        <v>effectiveDate</v>
      </c>
      <c r="V30" s="13" t="str">
        <f>IF(LEN(Table2[[#This Row],[!Description]]) &gt; 0, Table2[[#This Row],[!Description]], "rg:None")</f>
        <v>The datetime upon which the Credit Trade status was activated for use.</v>
      </c>
      <c r="W30" s="13" t="str">
        <f>IF(LEN(Table2[[#This Row],[!FK]])&gt;0,Table2[[#This Row],[!FK]],"rg:None")</f>
        <v>rg:None</v>
      </c>
      <c r="X30" s="13" t="str">
        <f>IF(LEN(concatif2(A:A,Table2[[#This Row],[!Table]],G:G,"Y",D:D,",")) &gt; 0,"rg:[ { 'req' : '"&amp;concatif2(A:A,Table2[[#This Row],[!Table]],G:G,"Y",D:D,"' }, { 'req': '")&amp;"'} ]","rg:[]")</f>
        <v>rg:[ { 'req' : 'id' }, { 'req': 'effectiveDate'} ]</v>
      </c>
      <c r="Y30" s="13" t="str">
        <f>IF(LEN(Table2[[#This Row],[!Unique]])&gt;0,IF(Table2[[#This Row],[!Type]] = "id", "rg:None","rg:True"),"rg:None")</f>
        <v>rg:None</v>
      </c>
    </row>
    <row r="31" spans="1:25" s="4" customFormat="1" ht="28.8" customHeight="1" x14ac:dyDescent="0.3">
      <c r="A31" s="44" t="s">
        <v>134</v>
      </c>
      <c r="B31" s="55" t="s">
        <v>11</v>
      </c>
      <c r="C31" s="5"/>
      <c r="D31" s="55" t="s">
        <v>165</v>
      </c>
      <c r="E31" s="68" t="s">
        <v>194</v>
      </c>
      <c r="F31" s="6"/>
      <c r="G31" s="14"/>
      <c r="H31" s="14"/>
      <c r="I31" s="4" t="str">
        <f t="shared" si="5"/>
        <v>Defs</v>
      </c>
      <c r="J31" s="13" t="str">
        <f>IF(Table2[[#This Row],[!Type]]=J$1, J$1,"rg:None")</f>
        <v>rg:None</v>
      </c>
      <c r="K31" s="13" t="str">
        <f>IF(Table2[[#This Row],[!Type]]=K$1, K$1,"rg:None")</f>
        <v>rg:None</v>
      </c>
      <c r="L31" s="13" t="str">
        <f>IF(Table2[[#This Row],[!Type]]=L$1, L$1,"rg:None")</f>
        <v>datetime</v>
      </c>
      <c r="M31" s="13" t="str">
        <f>IF(Table2[[#This Row],[!Type]]=M$1, M$1,"rg:None")</f>
        <v>rg:None</v>
      </c>
      <c r="N31" s="13" t="str">
        <f>IF(Table2[[#This Row],[!Type]]=N$1, N$1,"rg:None")</f>
        <v>rg:None</v>
      </c>
      <c r="O31" s="13"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13" t="str">
        <f>IF(LEN(Table2[[#This Row],[!Length]]) &gt; 0, Table2[[#This Row],[!Length]], "rg:None")</f>
        <v>rg:None</v>
      </c>
      <c r="U31" s="13" t="str">
        <f>IF(LEN(Table2[[#This Row],[!Name]]) &gt; 0, Table2[[#This Row],[!Name]], "rg:None")</f>
        <v>expirationDate</v>
      </c>
      <c r="V31" s="13" t="str">
        <f>IF(LEN(Table2[[#This Row],[!Description]]) &gt; 0, Table2[[#This Row],[!Description]], "rg:None")</f>
        <v>The data after which the Credit Trade status will no longer be used.</v>
      </c>
      <c r="W31" s="13" t="str">
        <f>IF(LEN(Table2[[#This Row],[!FK]])&gt;0,Table2[[#This Row],[!FK]],"rg:None")</f>
        <v>rg:None</v>
      </c>
      <c r="X31" s="13" t="str">
        <f>IF(LEN(concatif2(A:A,Table2[[#This Row],[!Table]],G:G,"Y",D:D,",")) &gt; 0,"rg:[ { 'req' : '"&amp;concatif2(A:A,Table2[[#This Row],[!Table]],G:G,"Y",D:D,"' }, { 'req': '")&amp;"'} ]","rg:[]")</f>
        <v>rg:[ { 'req' : 'id' }, { 'req': 'effectiveDate'} ]</v>
      </c>
      <c r="Y31" s="13" t="str">
        <f>IF(LEN(Table2[[#This Row],[!Unique]])&gt;0,IF(Table2[[#This Row],[!Type]] = "id", "rg:None","rg:True"),"rg:None")</f>
        <v>rg:None</v>
      </c>
    </row>
    <row r="32" spans="1:25" s="4" customFormat="1" ht="57.6" customHeight="1" x14ac:dyDescent="0.3">
      <c r="A32" s="44" t="s">
        <v>134</v>
      </c>
      <c r="B32" s="55" t="s">
        <v>12</v>
      </c>
      <c r="C32" s="5"/>
      <c r="D32" s="55" t="s">
        <v>166</v>
      </c>
      <c r="E32" s="68" t="s">
        <v>200</v>
      </c>
      <c r="F32" s="6"/>
      <c r="G32" s="14"/>
      <c r="H32" s="14"/>
      <c r="I32" s="4" t="str">
        <f>IF(LEN(A32) &gt; 0,"Defs","-")</f>
        <v>Defs</v>
      </c>
      <c r="J32" s="13" t="str">
        <f>IF(Table2[[#This Row],[!Type]]=J$1, J$1,"rg:None")</f>
        <v>rg:None</v>
      </c>
      <c r="K32" s="13" t="str">
        <f>IF(Table2[[#This Row],[!Type]]=K$1, K$1,"rg:None")</f>
        <v>rg:None</v>
      </c>
      <c r="L32" s="13" t="str">
        <f>IF(Table2[[#This Row],[!Type]]=L$1, L$1,"rg:None")</f>
        <v>rg:None</v>
      </c>
      <c r="M32" s="13" t="str">
        <f>IF(Table2[[#This Row],[!Type]]=M$1, M$1,"rg:None")</f>
        <v>rg:None</v>
      </c>
      <c r="N32" s="13" t="str">
        <f>IF(Table2[[#This Row],[!Type]]=N$1, N$1,"rg:None")</f>
        <v>integer</v>
      </c>
      <c r="O32" s="13"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13" t="str">
        <f>IF(LEN(Table2[[#This Row],[!Length]]) &gt; 0, Table2[[#This Row],[!Length]], "rg:None")</f>
        <v>rg:None</v>
      </c>
      <c r="U32" s="13" t="str">
        <f>IF(LEN(Table2[[#This Row],[!Name]]) &gt; 0, Table2[[#This Row],[!Name]], "rg:None")</f>
        <v>displayOrder</v>
      </c>
      <c r="V32" s="13" t="str">
        <f>IF(LEN(Table2[[#This Row],[!Description]]) &gt; 0, Table2[[#This Row],[!Description]], "rg:None")</f>
        <v>The order of display of the Credit Trade status. In general the order will be listed chronologically as they occur in a typical transaction, with exception statuses (e.g. Cancelled) at the bottom.</v>
      </c>
      <c r="W32" s="13" t="str">
        <f>IF(LEN(Table2[[#This Row],[!FK]])&gt;0,Table2[[#This Row],[!FK]],"rg:None")</f>
        <v>rg:None</v>
      </c>
      <c r="X32" s="13" t="str">
        <f>IF(LEN(concatif2(A:A,Table2[[#This Row],[!Table]],G:G,"Y",D:D,",")) &gt; 0,"rg:[ { 'req' : '"&amp;concatif2(A:A,Table2[[#This Row],[!Table]],G:G,"Y",D:D,"' }, { 'req': '")&amp;"'} ]","rg:[]")</f>
        <v>rg:[ { 'req' : 'id' }, { 'req': 'effectiveDate'} ]</v>
      </c>
      <c r="Y32" s="13" t="str">
        <f>IF(LEN(Table2[[#This Row],[!Unique]])&gt;0,IF(Table2[[#This Row],[!Type]] = "id", "rg:None","rg:True"),"rg:None")</f>
        <v>rg:None</v>
      </c>
    </row>
    <row r="33" spans="1:25" s="4" customFormat="1" ht="28.8" customHeight="1" x14ac:dyDescent="0.3">
      <c r="A33" s="44" t="s">
        <v>135</v>
      </c>
      <c r="B33" s="44" t="s">
        <v>4</v>
      </c>
      <c r="C33" s="5"/>
      <c r="D33" s="44" t="s">
        <v>135</v>
      </c>
      <c r="E33" s="68" t="s">
        <v>195</v>
      </c>
      <c r="F33" s="6"/>
      <c r="G33" s="14"/>
      <c r="H33" s="14"/>
      <c r="I33" s="4" t="str">
        <f t="shared" si="4"/>
        <v>Defs</v>
      </c>
      <c r="J33" s="13" t="str">
        <f>IF(Table2[[#This Row],[!Type]]=J$1, J$1,"rg:None")</f>
        <v>rg:None</v>
      </c>
      <c r="K33" s="13" t="str">
        <f>IF(Table2[[#This Row],[!Type]]=K$1, K$1,"rg:None")</f>
        <v>rg:None</v>
      </c>
      <c r="L33" s="13" t="str">
        <f>IF(Table2[[#This Row],[!Type]]=L$1, L$1,"rg:None")</f>
        <v>rg:None</v>
      </c>
      <c r="M33" s="13" t="str">
        <f>IF(Table2[[#This Row],[!Type]]=M$1, M$1,"rg:None")</f>
        <v>rg:None</v>
      </c>
      <c r="N33" s="13" t="str">
        <f>IF(Table2[[#This Row],[!Type]]=N$1, N$1,"rg:None")</f>
        <v>rg:None</v>
      </c>
      <c r="O33" s="13"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table</v>
      </c>
      <c r="T33" s="13" t="str">
        <f>IF(LEN(Table2[[#This Row],[!Length]]) &gt; 0, Table2[[#This Row],[!Length]], "rg:None")</f>
        <v>rg:None</v>
      </c>
      <c r="U33" s="13" t="str">
        <f>IF(LEN(Table2[[#This Row],[!Name]]) &gt; 0, Table2[[#This Row],[!Name]], "rg:None")</f>
        <v>CreditTradeType</v>
      </c>
      <c r="V33" s="13" t="str">
        <f>IF(LEN(Table2[[#This Row],[!Description]]) &gt; 0, Table2[[#This Row],[!Description]], "rg:None")</f>
        <v>The types of Credit Trades that can be proposed by the initiating organization.</v>
      </c>
      <c r="W33" s="13" t="str">
        <f>IF(LEN(Table2[[#This Row],[!FK]])&gt;0,Table2[[#This Row],[!FK]],"rg:None")</f>
        <v>rg:None</v>
      </c>
      <c r="X33" s="13" t="str">
        <f>IF(LEN(concatif2(A:A,Table2[[#This Row],[!Table]],G:G,"Y",D:D,",")) &gt; 0,"rg:[ { 'req' : '"&amp;concatif2(A:A,Table2[[#This Row],[!Table]],G:G,"Y",D:D,"' }, { 'req': '")&amp;"'} ]","rg:[]")</f>
        <v>rg:[ { 'req' : 'id' }, { 'req': 'effectiveDate'} ]</v>
      </c>
      <c r="Y33" s="13" t="str">
        <f>IF(LEN(Table2[[#This Row],[!Unique]])&gt;0,IF(Table2[[#This Row],[!Type]] = "id", "rg:None","rg:True"),"rg:None")</f>
        <v>rg:None</v>
      </c>
    </row>
    <row r="34" spans="1:25" s="4" customFormat="1" ht="28.8" x14ac:dyDescent="0.3">
      <c r="A34" s="44" t="s">
        <v>135</v>
      </c>
      <c r="B34" s="44" t="s">
        <v>6</v>
      </c>
      <c r="C34" s="5"/>
      <c r="D34" s="44" t="s">
        <v>6</v>
      </c>
      <c r="E34" s="68" t="s">
        <v>223</v>
      </c>
      <c r="F34" s="6"/>
      <c r="G34" s="47" t="s">
        <v>38</v>
      </c>
      <c r="H34" s="47" t="s">
        <v>38</v>
      </c>
      <c r="I34" s="4" t="str">
        <f t="shared" si="4"/>
        <v>Defs</v>
      </c>
      <c r="J34" s="13" t="str">
        <f>IF(Table2[[#This Row],[!Type]]=J$1, J$1,"rg:None")</f>
        <v>rg:None</v>
      </c>
      <c r="K34" s="13" t="str">
        <f>IF(Table2[[#This Row],[!Type]]=K$1, K$1,"rg:None")</f>
        <v>rg:None</v>
      </c>
      <c r="L34" s="13" t="str">
        <f>IF(Table2[[#This Row],[!Type]]=L$1, L$1,"rg:None")</f>
        <v>rg:None</v>
      </c>
      <c r="M34" s="13" t="str">
        <f>IF(Table2[[#This Row],[!Type]]=M$1, M$1,"rg:None")</f>
        <v>id</v>
      </c>
      <c r="N34" s="13" t="str">
        <f>IF(Table2[[#This Row],[!Type]]=N$1, N$1,"rg:None")</f>
        <v>rg:None</v>
      </c>
      <c r="O34" s="13"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13" t="str">
        <f>IF(LEN(Table2[[#This Row],[!Length]]) &gt; 0, Table2[[#This Row],[!Length]], "rg:None")</f>
        <v>rg:None</v>
      </c>
      <c r="U34" s="13" t="str">
        <f>IF(LEN(Table2[[#This Row],[!Name]]) &gt; 0, Table2[[#This Row],[!Name]], "rg:None")</f>
        <v>id</v>
      </c>
      <c r="V34" s="13" t="str">
        <f>IF(LEN(Table2[[#This Row],[!Description]]) &gt; 0, Table2[[#This Row],[!Description]], "rg:None")</f>
        <v>A system-generated unique identifier for a Credit Trade Type.</v>
      </c>
      <c r="W34" s="13" t="str">
        <f>IF(LEN(Table2[[#This Row],[!FK]])&gt;0,Table2[[#This Row],[!FK]],"rg:None")</f>
        <v>rg:None</v>
      </c>
      <c r="X34" s="13" t="str">
        <f>IF(LEN(concatif2(A:A,Table2[[#This Row],[!Table]],G:G,"Y",D:D,",")) &gt; 0,"rg:[ { 'req' : '"&amp;concatif2(A:A,Table2[[#This Row],[!Table]],G:G,"Y",D:D,"' }, { 'req': '")&amp;"'} ]","rg:[]")</f>
        <v>rg:[ { 'req' : 'id' }, { 'req': 'effectiveDate'} ]</v>
      </c>
      <c r="Y34" s="13" t="str">
        <f>IF(LEN(Table2[[#This Row],[!Unique]])&gt;0,IF(Table2[[#This Row],[!Type]] = "id", "rg:None","rg:True"),"rg:None")</f>
        <v>rg:None</v>
      </c>
    </row>
    <row r="35" spans="1:25" s="4" customFormat="1" ht="28.8" customHeight="1" x14ac:dyDescent="0.3">
      <c r="A35" s="44" t="s">
        <v>135</v>
      </c>
      <c r="B35" s="44" t="s">
        <v>7</v>
      </c>
      <c r="C35" s="5">
        <v>25</v>
      </c>
      <c r="D35" s="78" t="s">
        <v>317</v>
      </c>
      <c r="E35" s="68" t="s">
        <v>196</v>
      </c>
      <c r="F35" s="6"/>
      <c r="G35" s="14"/>
      <c r="H35" s="14"/>
      <c r="I35" s="4" t="str">
        <f t="shared" ref="I35" si="6">IF(LEN(A35) &gt; 0,"Defs","-")</f>
        <v>Defs</v>
      </c>
      <c r="J35" s="13" t="str">
        <f>IF(Table2[[#This Row],[!Type]]=J$1, J$1,"rg:None")</f>
        <v>rg:None</v>
      </c>
      <c r="K35" s="13" t="str">
        <f>IF(Table2[[#This Row],[!Type]]=K$1, K$1,"rg:None")</f>
        <v>rg:None</v>
      </c>
      <c r="L35" s="13" t="str">
        <f>IF(Table2[[#This Row],[!Type]]=L$1, L$1,"rg:None")</f>
        <v>rg:None</v>
      </c>
      <c r="M35" s="13" t="str">
        <f>IF(Table2[[#This Row],[!Type]]=M$1, M$1,"rg:None")</f>
        <v>rg:None</v>
      </c>
      <c r="N35" s="13" t="str">
        <f>IF(Table2[[#This Row],[!Type]]=N$1, N$1,"rg:None")</f>
        <v>rg:None</v>
      </c>
      <c r="O35" s="13"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13">
        <f>IF(LEN(Table2[[#This Row],[!Length]]) &gt; 0, Table2[[#This Row],[!Length]], "rg:None")</f>
        <v>25</v>
      </c>
      <c r="U35" s="13" t="str">
        <f>IF(LEN(Table2[[#This Row],[!Name]]) &gt; 0, Table2[[#This Row],[!Name]], "rg:None")</f>
        <v>theType</v>
      </c>
      <c r="V35" s="13" t="str">
        <f>IF(LEN(Table2[[#This Row],[!Description]]) &gt; 0, Table2[[#This Row],[!Description]], "rg:None")</f>
        <v>The name of the type of Credit Trade, such as Buy, Sell, Award, etc.</v>
      </c>
      <c r="W35" s="13" t="str">
        <f>IF(LEN(Table2[[#This Row],[!FK]])&gt;0,Table2[[#This Row],[!FK]],"rg:None")</f>
        <v>rg:None</v>
      </c>
      <c r="X35" s="13" t="str">
        <f>IF(LEN(concatif2(A:A,Table2[[#This Row],[!Table]],G:G,"Y",D:D,",")) &gt; 0,"rg:[ { 'req' : '"&amp;concatif2(A:A,Table2[[#This Row],[!Table]],G:G,"Y",D:D,"' }, { 'req': '")&amp;"'} ]","rg:[]")</f>
        <v>rg:[ { 'req' : 'id' }, { 'req': 'effectiveDate'} ]</v>
      </c>
      <c r="Y35" s="13" t="str">
        <f>IF(LEN(Table2[[#This Row],[!Unique]])&gt;0,IF(Table2[[#This Row],[!Type]] = "id", "rg:None","rg:True"),"rg:None")</f>
        <v>rg:None</v>
      </c>
    </row>
    <row r="36" spans="1:25" s="4" customFormat="1" ht="28.8" customHeight="1" x14ac:dyDescent="0.3">
      <c r="A36" s="44" t="s">
        <v>135</v>
      </c>
      <c r="B36" s="55" t="s">
        <v>7</v>
      </c>
      <c r="C36" s="5">
        <v>1000</v>
      </c>
      <c r="D36" s="55" t="s">
        <v>13</v>
      </c>
      <c r="E36" s="68" t="s">
        <v>202</v>
      </c>
      <c r="F36" s="6"/>
      <c r="G36" s="14"/>
      <c r="H36" s="14"/>
      <c r="I36" s="4" t="str">
        <f t="shared" ref="I36:I38" si="7">IF(LEN(A36) &gt; 0,"Defs","-")</f>
        <v>Defs</v>
      </c>
      <c r="J36" s="13" t="str">
        <f>IF(Table2[[#This Row],[!Type]]=J$1, J$1,"rg:None")</f>
        <v>rg:None</v>
      </c>
      <c r="K36" s="13" t="str">
        <f>IF(Table2[[#This Row],[!Type]]=K$1, K$1,"rg:None")</f>
        <v>rg:None</v>
      </c>
      <c r="L36" s="13" t="str">
        <f>IF(Table2[[#This Row],[!Type]]=L$1, L$1,"rg:None")</f>
        <v>rg:None</v>
      </c>
      <c r="M36" s="13" t="str">
        <f>IF(Table2[[#This Row],[!Type]]=M$1, M$1,"rg:None")</f>
        <v>rg:None</v>
      </c>
      <c r="N36" s="13" t="str">
        <f>IF(Table2[[#This Row],[!Type]]=N$1, N$1,"rg:None")</f>
        <v>rg:None</v>
      </c>
      <c r="O36" s="13" t="str">
        <f>IF(Table2[[#This Row],[!Type]]=O$1, O$1,"rg:None")</f>
        <v>rg:None</v>
      </c>
      <c r="P36" s="4" t="str">
        <f>IF(Table2[[#This Row],[!Type]]=P$1, P$1,"rg:None")</f>
        <v>rg:None</v>
      </c>
      <c r="Q36" s="4" t="str">
        <f>IF(Table2[[#This Row],[!Type]]=Q$1, Q$1,"rg:None")</f>
        <v>rg:None</v>
      </c>
      <c r="R36" s="4" t="str">
        <f>IF(Table2[[#This Row],[!Type]]=R$1, R$1,"rg:None")</f>
        <v>string</v>
      </c>
      <c r="S36" s="4" t="str">
        <f>IF(Table2[[#This Row],[!Type]]=S$1, S$1,"rg:None")</f>
        <v>rg:None</v>
      </c>
      <c r="T36" s="13">
        <f>IF(LEN(Table2[[#This Row],[!Length]]) &gt; 0, Table2[[#This Row],[!Length]], "rg:None")</f>
        <v>1000</v>
      </c>
      <c r="U36" s="13" t="str">
        <f>IF(LEN(Table2[[#This Row],[!Name]]) &gt; 0, Table2[[#This Row],[!Name]], "rg:None")</f>
        <v>description</v>
      </c>
      <c r="V36" s="13" t="str">
        <f>IF(LEN(Table2[[#This Row],[!Description]]) &gt; 0, Table2[[#This Row],[!Description]], "rg:None")</f>
        <v>End user help-text information about the Credit Trade type.</v>
      </c>
      <c r="W36" s="13" t="str">
        <f>IF(LEN(Table2[[#This Row],[!FK]])&gt;0,Table2[[#This Row],[!FK]],"rg:None")</f>
        <v>rg:None</v>
      </c>
      <c r="X36" s="13" t="str">
        <f>IF(LEN(concatif2(A:A,Table2[[#This Row],[!Table]],G:G,"Y",D:D,",")) &gt; 0,"rg:[ { 'req' : '"&amp;concatif2(A:A,Table2[[#This Row],[!Table]],G:G,"Y",D:D,"' }, { 'req': '")&amp;"'} ]","rg:[]")</f>
        <v>rg:[ { 'req' : 'id' }, { 'req': 'effectiveDate'} ]</v>
      </c>
      <c r="Y36" s="13" t="str">
        <f>IF(LEN(Table2[[#This Row],[!Unique]])&gt;0,IF(Table2[[#This Row],[!Type]] = "id", "rg:None","rg:True"),"rg:None")</f>
        <v>rg:None</v>
      </c>
    </row>
    <row r="37" spans="1:25" s="4" customFormat="1" ht="28.8" customHeight="1" x14ac:dyDescent="0.3">
      <c r="A37" s="44" t="s">
        <v>135</v>
      </c>
      <c r="B37" s="55" t="s">
        <v>11</v>
      </c>
      <c r="C37" s="5"/>
      <c r="D37" s="61" t="s">
        <v>158</v>
      </c>
      <c r="E37" s="68" t="s">
        <v>198</v>
      </c>
      <c r="F37" s="6"/>
      <c r="G37" s="57" t="s">
        <v>38</v>
      </c>
      <c r="H37" s="14"/>
      <c r="I37" s="4" t="str">
        <f t="shared" si="7"/>
        <v>Defs</v>
      </c>
      <c r="J37" s="13" t="str">
        <f>IF(Table2[[#This Row],[!Type]]=J$1, J$1,"rg:None")</f>
        <v>rg:None</v>
      </c>
      <c r="K37" s="13" t="str">
        <f>IF(Table2[[#This Row],[!Type]]=K$1, K$1,"rg:None")</f>
        <v>rg:None</v>
      </c>
      <c r="L37" s="13" t="str">
        <f>IF(Table2[[#This Row],[!Type]]=L$1, L$1,"rg:None")</f>
        <v>datetime</v>
      </c>
      <c r="M37" s="13" t="str">
        <f>IF(Table2[[#This Row],[!Type]]=M$1, M$1,"rg:None")</f>
        <v>rg:None</v>
      </c>
      <c r="N37" s="13" t="str">
        <f>IF(Table2[[#This Row],[!Type]]=N$1, N$1,"rg:None")</f>
        <v>rg:None</v>
      </c>
      <c r="O37" s="13"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13" t="str">
        <f>IF(LEN(Table2[[#This Row],[!Length]]) &gt; 0, Table2[[#This Row],[!Length]], "rg:None")</f>
        <v>rg:None</v>
      </c>
      <c r="U37" s="13" t="str">
        <f>IF(LEN(Table2[[#This Row],[!Name]]) &gt; 0, Table2[[#This Row],[!Name]], "rg:None")</f>
        <v>effectiveDate</v>
      </c>
      <c r="V37" s="13" t="str">
        <f>IF(LEN(Table2[[#This Row],[!Description]]) &gt; 0, Table2[[#This Row],[!Description]], "rg:None")</f>
        <v>The datetime upon which the Credit Trade type was activated for use.</v>
      </c>
      <c r="W37" s="13" t="str">
        <f>IF(LEN(Table2[[#This Row],[!FK]])&gt;0,Table2[[#This Row],[!FK]],"rg:None")</f>
        <v>rg:None</v>
      </c>
      <c r="X37" s="13" t="str">
        <f>IF(LEN(concatif2(A:A,Table2[[#This Row],[!Table]],G:G,"Y",D:D,",")) &gt; 0,"rg:[ { 'req' : '"&amp;concatif2(A:A,Table2[[#This Row],[!Table]],G:G,"Y",D:D,"' }, { 'req': '")&amp;"'} ]","rg:[]")</f>
        <v>rg:[ { 'req' : 'id' }, { 'req': 'effectiveDate'} ]</v>
      </c>
      <c r="Y37" s="13" t="str">
        <f>IF(LEN(Table2[[#This Row],[!Unique]])&gt;0,IF(Table2[[#This Row],[!Type]] = "id", "rg:None","rg:True"),"rg:None")</f>
        <v>rg:None</v>
      </c>
    </row>
    <row r="38" spans="1:25" s="4" customFormat="1" ht="28.8" customHeight="1" x14ac:dyDescent="0.3">
      <c r="A38" s="44" t="s">
        <v>135</v>
      </c>
      <c r="B38" s="55" t="s">
        <v>11</v>
      </c>
      <c r="C38" s="5"/>
      <c r="D38" s="55" t="s">
        <v>165</v>
      </c>
      <c r="E38" s="68" t="s">
        <v>199</v>
      </c>
      <c r="F38" s="6"/>
      <c r="G38" s="57"/>
      <c r="H38" s="14"/>
      <c r="I38" s="4" t="str">
        <f t="shared" si="7"/>
        <v>Defs</v>
      </c>
      <c r="J38" s="13" t="str">
        <f>IF(Table2[[#This Row],[!Type]]=J$1, J$1,"rg:None")</f>
        <v>rg:None</v>
      </c>
      <c r="K38" s="13" t="str">
        <f>IF(Table2[[#This Row],[!Type]]=K$1, K$1,"rg:None")</f>
        <v>rg:None</v>
      </c>
      <c r="L38" s="13" t="str">
        <f>IF(Table2[[#This Row],[!Type]]=L$1, L$1,"rg:None")</f>
        <v>datetime</v>
      </c>
      <c r="M38" s="13" t="str">
        <f>IF(Table2[[#This Row],[!Type]]=M$1, M$1,"rg:None")</f>
        <v>rg:None</v>
      </c>
      <c r="N38" s="13" t="str">
        <f>IF(Table2[[#This Row],[!Type]]=N$1, N$1,"rg:None")</f>
        <v>rg:None</v>
      </c>
      <c r="O38" s="13"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13" t="str">
        <f>IF(LEN(Table2[[#This Row],[!Length]]) &gt; 0, Table2[[#This Row],[!Length]], "rg:None")</f>
        <v>rg:None</v>
      </c>
      <c r="U38" s="13" t="str">
        <f>IF(LEN(Table2[[#This Row],[!Name]]) &gt; 0, Table2[[#This Row],[!Name]], "rg:None")</f>
        <v>expirationDate</v>
      </c>
      <c r="V38" s="13" t="str">
        <f>IF(LEN(Table2[[#This Row],[!Description]]) &gt; 0, Table2[[#This Row],[!Description]], "rg:None")</f>
        <v>The data after which the Credit Trade type will no longer be used.</v>
      </c>
      <c r="W38" s="13" t="str">
        <f>IF(LEN(Table2[[#This Row],[!FK]])&gt;0,Table2[[#This Row],[!FK]],"rg:None")</f>
        <v>rg:None</v>
      </c>
      <c r="X38" s="13" t="str">
        <f>IF(LEN(concatif2(A:A,Table2[[#This Row],[!Table]],G:G,"Y",D:D,",")) &gt; 0,"rg:[ { 'req' : '"&amp;concatif2(A:A,Table2[[#This Row],[!Table]],G:G,"Y",D:D,"' }, { 'req': '")&amp;"'} ]","rg:[]")</f>
        <v>rg:[ { 'req' : 'id' }, { 'req': 'effectiveDate'} ]</v>
      </c>
      <c r="Y38" s="13" t="str">
        <f>IF(LEN(Table2[[#This Row],[!Unique]])&gt;0,IF(Table2[[#This Row],[!Type]] = "id", "rg:None","rg:True"),"rg:None")</f>
        <v>rg:None</v>
      </c>
    </row>
    <row r="39" spans="1:25" s="4" customFormat="1" ht="43.2" customHeight="1" x14ac:dyDescent="0.3">
      <c r="A39" s="44" t="s">
        <v>135</v>
      </c>
      <c r="B39" s="55" t="s">
        <v>12</v>
      </c>
      <c r="C39" s="5"/>
      <c r="D39" s="55" t="s">
        <v>166</v>
      </c>
      <c r="E39" s="68" t="s">
        <v>201</v>
      </c>
      <c r="F39" s="6"/>
      <c r="G39" s="14"/>
      <c r="H39" s="14"/>
      <c r="I39" s="4" t="str">
        <f>IF(LEN(A39) &gt; 0,"Defs","-")</f>
        <v>Defs</v>
      </c>
      <c r="J39" s="13" t="str">
        <f>IF(Table2[[#This Row],[!Type]]=J$1, J$1,"rg:None")</f>
        <v>rg:None</v>
      </c>
      <c r="K39" s="13" t="str">
        <f>IF(Table2[[#This Row],[!Type]]=K$1, K$1,"rg:None")</f>
        <v>rg:None</v>
      </c>
      <c r="L39" s="13" t="str">
        <f>IF(Table2[[#This Row],[!Type]]=L$1, L$1,"rg:None")</f>
        <v>rg:None</v>
      </c>
      <c r="M39" s="13" t="str">
        <f>IF(Table2[[#This Row],[!Type]]=M$1, M$1,"rg:None")</f>
        <v>rg:None</v>
      </c>
      <c r="N39" s="13" t="str">
        <f>IF(Table2[[#This Row],[!Type]]=N$1, N$1,"rg:None")</f>
        <v>integer</v>
      </c>
      <c r="O39" s="13"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13" t="str">
        <f>IF(LEN(Table2[[#This Row],[!Length]]) &gt; 0, Table2[[#This Row],[!Length]], "rg:None")</f>
        <v>rg:None</v>
      </c>
      <c r="U39" s="13" t="str">
        <f>IF(LEN(Table2[[#This Row],[!Name]]) &gt; 0, Table2[[#This Row],[!Name]], "rg:None")</f>
        <v>displayOrder</v>
      </c>
      <c r="V39" s="13" t="str">
        <f>IF(LEN(Table2[[#This Row],[!Description]]) &gt; 0, Table2[[#This Row],[!Description]], "rg:None")</f>
        <v>The order of display of the Credit Trade type In general the order will be listed in the order of expected frequency.</v>
      </c>
      <c r="W39" s="13" t="str">
        <f>IF(LEN(Table2[[#This Row],[!FK]])&gt;0,Table2[[#This Row],[!FK]],"rg:None")</f>
        <v>rg:None</v>
      </c>
      <c r="X39" s="13" t="str">
        <f>IF(LEN(concatif2(A:A,Table2[[#This Row],[!Table]],G:G,"Y",D:D,",")) &gt; 0,"rg:[ { 'req' : '"&amp;concatif2(A:A,Table2[[#This Row],[!Table]],G:G,"Y",D:D,"' }, { 'req': '")&amp;"'} ]","rg:[]")</f>
        <v>rg:[ { 'req' : 'id' }, { 'req': 'effectiveDate'} ]</v>
      </c>
      <c r="Y39" s="13" t="str">
        <f>IF(LEN(Table2[[#This Row],[!Unique]])&gt;0,IF(Table2[[#This Row],[!Type]] = "id", "rg:None","rg:True"),"rg:None")</f>
        <v>rg:None</v>
      </c>
    </row>
    <row r="40" spans="1:25" s="4" customFormat="1" ht="28.8" customHeight="1" x14ac:dyDescent="0.3">
      <c r="A40" s="44" t="s">
        <v>135</v>
      </c>
      <c r="B40" s="64" t="s">
        <v>10</v>
      </c>
      <c r="C40" s="5"/>
      <c r="D40" s="64" t="s">
        <v>213</v>
      </c>
      <c r="E40" s="68" t="s">
        <v>214</v>
      </c>
      <c r="F40" s="6"/>
      <c r="G40" s="14"/>
      <c r="H40" s="14"/>
      <c r="I40" s="4" t="str">
        <f>IF(LEN(A40) &gt; 0,"Defs","-")</f>
        <v>Defs</v>
      </c>
      <c r="J40" s="13" t="str">
        <f>IF(Table2[[#This Row],[!Type]]=J$1, J$1,"rg:None")</f>
        <v>boolean</v>
      </c>
      <c r="K40" s="13" t="str">
        <f>IF(Table2[[#This Row],[!Type]]=K$1, K$1,"rg:None")</f>
        <v>rg:None</v>
      </c>
      <c r="L40" s="13" t="str">
        <f>IF(Table2[[#This Row],[!Type]]=L$1, L$1,"rg:None")</f>
        <v>rg:None</v>
      </c>
      <c r="M40" s="13" t="str">
        <f>IF(Table2[[#This Row],[!Type]]=M$1, M$1,"rg:None")</f>
        <v>rg:None</v>
      </c>
      <c r="N40" s="13" t="str">
        <f>IF(Table2[[#This Row],[!Type]]=N$1, N$1,"rg:None")</f>
        <v>rg:None</v>
      </c>
      <c r="O40" s="13"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13" t="str">
        <f>IF(LEN(Table2[[#This Row],[!Length]]) &gt; 0, Table2[[#This Row],[!Length]], "rg:None")</f>
        <v>rg:None</v>
      </c>
      <c r="U40" s="13" t="str">
        <f>IF(LEN(Table2[[#This Row],[!Name]]) &gt; 0, Table2[[#This Row],[!Name]], "rg:None")</f>
        <v>isGovOnlyType</v>
      </c>
      <c r="V40" s="13" t="str">
        <f>IF(LEN(Table2[[#This Row],[!Description]]) &gt; 0, Table2[[#This Row],[!Description]], "rg:None")</f>
        <v>The Credit Trade Type is a government-only type of Credit Trade - not available to Fuel Suppliers.</v>
      </c>
      <c r="W40" s="13" t="str">
        <f>IF(LEN(Table2[[#This Row],[!FK]])&gt;0,Table2[[#This Row],[!FK]],"rg:None")</f>
        <v>rg:None</v>
      </c>
      <c r="X40" s="13" t="str">
        <f>IF(LEN(concatif2(A:A,Table2[[#This Row],[!Table]],G:G,"Y",D:D,",")) &gt; 0,"rg:[ { 'req' : '"&amp;concatif2(A:A,Table2[[#This Row],[!Table]],G:G,"Y",D:D,"' }, { 'req': '")&amp;"'} ]","rg:[]")</f>
        <v>rg:[ { 'req' : 'id' }, { 'req': 'effectiveDate'} ]</v>
      </c>
      <c r="Y40" s="13" t="str">
        <f>IF(LEN(Table2[[#This Row],[!Unique]])&gt;0,IF(Table2[[#This Row],[!Type]] = "id", "rg:None","rg:True"),"rg:None")</f>
        <v>rg:None</v>
      </c>
    </row>
    <row r="41" spans="1:25" s="4" customFormat="1" ht="28.8" customHeight="1" x14ac:dyDescent="0.3">
      <c r="A41" s="84" t="s">
        <v>337</v>
      </c>
      <c r="B41" s="44" t="s">
        <v>4</v>
      </c>
      <c r="C41" s="5"/>
      <c r="D41" s="84" t="s">
        <v>337</v>
      </c>
      <c r="E41" s="87" t="s">
        <v>339</v>
      </c>
      <c r="F41" s="6"/>
      <c r="G41" s="14"/>
      <c r="H41" s="14"/>
      <c r="I41" s="4" t="str">
        <f t="shared" ref="I41:I46" si="8">IF(LEN(A41) &gt; 0,"Defs","-")</f>
        <v>Defs</v>
      </c>
      <c r="J41" s="13" t="str">
        <f>IF(Table2[[#This Row],[!Type]]=J$1, J$1,"rg:None")</f>
        <v>rg:None</v>
      </c>
      <c r="K41" s="13" t="str">
        <f>IF(Table2[[#This Row],[!Type]]=K$1, K$1,"rg:None")</f>
        <v>rg:None</v>
      </c>
      <c r="L41" s="13" t="str">
        <f>IF(Table2[[#This Row],[!Type]]=L$1, L$1,"rg:None")</f>
        <v>rg:None</v>
      </c>
      <c r="M41" s="13" t="str">
        <f>IF(Table2[[#This Row],[!Type]]=M$1, M$1,"rg:None")</f>
        <v>rg:None</v>
      </c>
      <c r="N41" s="13" t="str">
        <f>IF(Table2[[#This Row],[!Type]]=N$1, N$1,"rg:None")</f>
        <v>rg:None</v>
      </c>
      <c r="O41" s="13"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table</v>
      </c>
      <c r="T41" s="13" t="str">
        <f>IF(LEN(Table2[[#This Row],[!Length]]) &gt; 0, Table2[[#This Row],[!Length]], "rg:None")</f>
        <v>rg:None</v>
      </c>
      <c r="U41" s="13" t="str">
        <f>IF(LEN(Table2[[#This Row],[!Name]]) &gt; 0, Table2[[#This Row],[!Name]], "rg:None")</f>
        <v>CreditTradeZeroReason</v>
      </c>
      <c r="V41" s="13" t="str">
        <f>IF(LEN(Table2[[#This Row],[!Description]]) &gt; 0, Table2[[#This Row],[!Description]], "rg:None")</f>
        <v>The reason for a $0.00 per Credit Trade.</v>
      </c>
      <c r="W41" s="13" t="str">
        <f>IF(LEN(Table2[[#This Row],[!FK]])&gt;0,Table2[[#This Row],[!FK]],"rg:None")</f>
        <v>rg:None</v>
      </c>
      <c r="X41" s="13" t="str">
        <f>IF(LEN(concatif2(A:A,Table2[[#This Row],[!Table]],G:G,"Y",D:D,",")) &gt; 0,"rg:[ { 'req' : '"&amp;concatif2(A:A,Table2[[#This Row],[!Table]],G:G,"Y",D:D,"' }, { 'req': '")&amp;"'} ]","rg:[]")</f>
        <v>rg:[ { 'req' : 'id' }, { 'req': 'reason' }, { 'req': 'description' }, { 'req': 'effectiveDate'} ]</v>
      </c>
      <c r="Y41" s="13" t="str">
        <f>IF(LEN(Table2[[#This Row],[!Unique]])&gt;0,IF(Table2[[#This Row],[!Type]] = "id", "rg:None","rg:True"),"rg:None")</f>
        <v>rg:None</v>
      </c>
    </row>
    <row r="42" spans="1:25" s="4" customFormat="1" ht="28.8" customHeight="1" x14ac:dyDescent="0.3">
      <c r="A42" s="84" t="s">
        <v>337</v>
      </c>
      <c r="B42" s="44" t="s">
        <v>6</v>
      </c>
      <c r="C42" s="5"/>
      <c r="D42" s="44" t="s">
        <v>6</v>
      </c>
      <c r="E42" s="87" t="s">
        <v>340</v>
      </c>
      <c r="F42" s="6"/>
      <c r="G42" s="47" t="s">
        <v>38</v>
      </c>
      <c r="H42" s="47" t="s">
        <v>38</v>
      </c>
      <c r="I42" s="4" t="str">
        <f t="shared" si="8"/>
        <v>Defs</v>
      </c>
      <c r="J42" s="13" t="str">
        <f>IF(Table2[[#This Row],[!Type]]=J$1, J$1,"rg:None")</f>
        <v>rg:None</v>
      </c>
      <c r="K42" s="13" t="str">
        <f>IF(Table2[[#This Row],[!Type]]=K$1, K$1,"rg:None")</f>
        <v>rg:None</v>
      </c>
      <c r="L42" s="13" t="str">
        <f>IF(Table2[[#This Row],[!Type]]=L$1, L$1,"rg:None")</f>
        <v>rg:None</v>
      </c>
      <c r="M42" s="13" t="str">
        <f>IF(Table2[[#This Row],[!Type]]=M$1, M$1,"rg:None")</f>
        <v>id</v>
      </c>
      <c r="N42" s="13" t="str">
        <f>IF(Table2[[#This Row],[!Type]]=N$1, N$1,"rg:None")</f>
        <v>rg:None</v>
      </c>
      <c r="O42" s="13"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13" t="str">
        <f>IF(LEN(Table2[[#This Row],[!Length]]) &gt; 0, Table2[[#This Row],[!Length]], "rg:None")</f>
        <v>rg:None</v>
      </c>
      <c r="U42" s="13" t="str">
        <f>IF(LEN(Table2[[#This Row],[!Name]]) &gt; 0, Table2[[#This Row],[!Name]], "rg:None")</f>
        <v>id</v>
      </c>
      <c r="V42" s="13" t="str">
        <f>IF(LEN(Table2[[#This Row],[!Description]]) &gt; 0, Table2[[#This Row],[!Description]], "rg:None")</f>
        <v>A system-generated unique identifier for a Credit Trade Zero Reason.</v>
      </c>
      <c r="W42" s="13" t="str">
        <f>IF(LEN(Table2[[#This Row],[!FK]])&gt;0,Table2[[#This Row],[!FK]],"rg:None")</f>
        <v>rg:None</v>
      </c>
      <c r="X42" s="13" t="str">
        <f>IF(LEN(concatif2(A:A,Table2[[#This Row],[!Table]],G:G,"Y",D:D,",")) &gt; 0,"rg:[ { 'req' : '"&amp;concatif2(A:A,Table2[[#This Row],[!Table]],G:G,"Y",D:D,"' }, { 'req': '")&amp;"'} ]","rg:[]")</f>
        <v>rg:[ { 'req' : 'id' }, { 'req': 'reason' }, { 'req': 'description' }, { 'req': 'effectiveDate'} ]</v>
      </c>
      <c r="Y42" s="13" t="str">
        <f>IF(LEN(Table2[[#This Row],[!Unique]])&gt;0,IF(Table2[[#This Row],[!Type]] = "id", "rg:None","rg:True"),"rg:None")</f>
        <v>rg:None</v>
      </c>
    </row>
    <row r="43" spans="1:25" s="4" customFormat="1" ht="28.8" customHeight="1" x14ac:dyDescent="0.3">
      <c r="A43" s="84" t="s">
        <v>337</v>
      </c>
      <c r="B43" s="44" t="s">
        <v>7</v>
      </c>
      <c r="C43" s="5">
        <v>25</v>
      </c>
      <c r="D43" s="84" t="s">
        <v>338</v>
      </c>
      <c r="E43" s="87" t="s">
        <v>341</v>
      </c>
      <c r="F43" s="6"/>
      <c r="G43" s="86" t="s">
        <v>38</v>
      </c>
      <c r="H43" s="14"/>
      <c r="I43" s="4" t="str">
        <f t="shared" si="8"/>
        <v>Defs</v>
      </c>
      <c r="J43" s="13" t="str">
        <f>IF(Table2[[#This Row],[!Type]]=J$1, J$1,"rg:None")</f>
        <v>rg:None</v>
      </c>
      <c r="K43" s="13" t="str">
        <f>IF(Table2[[#This Row],[!Type]]=K$1, K$1,"rg:None")</f>
        <v>rg:None</v>
      </c>
      <c r="L43" s="13" t="str">
        <f>IF(Table2[[#This Row],[!Type]]=L$1, L$1,"rg:None")</f>
        <v>rg:None</v>
      </c>
      <c r="M43" s="13" t="str">
        <f>IF(Table2[[#This Row],[!Type]]=M$1, M$1,"rg:None")</f>
        <v>rg:None</v>
      </c>
      <c r="N43" s="13" t="str">
        <f>IF(Table2[[#This Row],[!Type]]=N$1, N$1,"rg:None")</f>
        <v>rg:None</v>
      </c>
      <c r="O43" s="13"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13">
        <f>IF(LEN(Table2[[#This Row],[!Length]]) &gt; 0, Table2[[#This Row],[!Length]], "rg:None")</f>
        <v>25</v>
      </c>
      <c r="U43" s="13" t="str">
        <f>IF(LEN(Table2[[#This Row],[!Name]]) &gt; 0, Table2[[#This Row],[!Name]], "rg:None")</f>
        <v>reason</v>
      </c>
      <c r="V43" s="13" t="str">
        <f>IF(LEN(Table2[[#This Row],[!Description]]) &gt; 0, Table2[[#This Row],[!Description]], "rg:None")</f>
        <v>The text of the reason for the $0.00 per Credit Trade trade.</v>
      </c>
      <c r="W43" s="13" t="str">
        <f>IF(LEN(Table2[[#This Row],[!FK]])&gt;0,Table2[[#This Row],[!FK]],"rg:None")</f>
        <v>rg:None</v>
      </c>
      <c r="X43" s="13" t="str">
        <f>IF(LEN(concatif2(A:A,Table2[[#This Row],[!Table]],G:G,"Y",D:D,",")) &gt; 0,"rg:[ { 'req' : '"&amp;concatif2(A:A,Table2[[#This Row],[!Table]],G:G,"Y",D:D,"' }, { 'req': '")&amp;"'} ]","rg:[]")</f>
        <v>rg:[ { 'req' : 'id' }, { 'req': 'reason' }, { 'req': 'description' }, { 'req': 'effectiveDate'} ]</v>
      </c>
      <c r="Y43" s="13" t="str">
        <f>IF(LEN(Table2[[#This Row],[!Unique]])&gt;0,IF(Table2[[#This Row],[!Type]] = "id", "rg:None","rg:True"),"rg:None")</f>
        <v>rg:None</v>
      </c>
    </row>
    <row r="44" spans="1:25" s="4" customFormat="1" ht="28.8" customHeight="1" x14ac:dyDescent="0.3">
      <c r="A44" s="84" t="s">
        <v>337</v>
      </c>
      <c r="B44" s="55" t="s">
        <v>7</v>
      </c>
      <c r="C44" s="5">
        <v>1000</v>
      </c>
      <c r="D44" s="55" t="s">
        <v>13</v>
      </c>
      <c r="E44" s="87" t="s">
        <v>342</v>
      </c>
      <c r="F44" s="6"/>
      <c r="G44" s="86" t="s">
        <v>38</v>
      </c>
      <c r="H44" s="14"/>
      <c r="I44" s="4" t="str">
        <f t="shared" si="8"/>
        <v>Defs</v>
      </c>
      <c r="J44" s="13" t="str">
        <f>IF(Table2[[#This Row],[!Type]]=J$1, J$1,"rg:None")</f>
        <v>rg:None</v>
      </c>
      <c r="K44" s="13" t="str">
        <f>IF(Table2[[#This Row],[!Type]]=K$1, K$1,"rg:None")</f>
        <v>rg:None</v>
      </c>
      <c r="L44" s="13" t="str">
        <f>IF(Table2[[#This Row],[!Type]]=L$1, L$1,"rg:None")</f>
        <v>rg:None</v>
      </c>
      <c r="M44" s="13" t="str">
        <f>IF(Table2[[#This Row],[!Type]]=M$1, M$1,"rg:None")</f>
        <v>rg:None</v>
      </c>
      <c r="N44" s="13" t="str">
        <f>IF(Table2[[#This Row],[!Type]]=N$1, N$1,"rg:None")</f>
        <v>rg:None</v>
      </c>
      <c r="O44" s="13"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13">
        <f>IF(LEN(Table2[[#This Row],[!Length]]) &gt; 0, Table2[[#This Row],[!Length]], "rg:None")</f>
        <v>1000</v>
      </c>
      <c r="U44" s="13" t="str">
        <f>IF(LEN(Table2[[#This Row],[!Name]]) &gt; 0, Table2[[#This Row],[!Name]], "rg:None")</f>
        <v>description</v>
      </c>
      <c r="V44" s="13" t="str">
        <f>IF(LEN(Table2[[#This Row],[!Description]]) &gt; 0, Table2[[#This Row],[!Description]], "rg:None")</f>
        <v>End user help-text information about the Credit Trade Zero Reason.</v>
      </c>
      <c r="W44" s="13" t="str">
        <f>IF(LEN(Table2[[#This Row],[!FK]])&gt;0,Table2[[#This Row],[!FK]],"rg:None")</f>
        <v>rg:None</v>
      </c>
      <c r="X44" s="13" t="str">
        <f>IF(LEN(concatif2(A:A,Table2[[#This Row],[!Table]],G:G,"Y",D:D,",")) &gt; 0,"rg:[ { 'req' : '"&amp;concatif2(A:A,Table2[[#This Row],[!Table]],G:G,"Y",D:D,"' }, { 'req': '")&amp;"'} ]","rg:[]")</f>
        <v>rg:[ { 'req' : 'id' }, { 'req': 'reason' }, { 'req': 'description' }, { 'req': 'effectiveDate'} ]</v>
      </c>
      <c r="Y44" s="13" t="str">
        <f>IF(LEN(Table2[[#This Row],[!Unique]])&gt;0,IF(Table2[[#This Row],[!Type]] = "id", "rg:None","rg:True"),"rg:None")</f>
        <v>rg:None</v>
      </c>
    </row>
    <row r="45" spans="1:25" s="4" customFormat="1" ht="28.8" customHeight="1" x14ac:dyDescent="0.3">
      <c r="A45" s="84" t="s">
        <v>337</v>
      </c>
      <c r="B45" s="55" t="s">
        <v>11</v>
      </c>
      <c r="C45" s="5"/>
      <c r="D45" s="61" t="s">
        <v>158</v>
      </c>
      <c r="E45" s="87" t="s">
        <v>343</v>
      </c>
      <c r="F45" s="6"/>
      <c r="G45" s="57" t="s">
        <v>38</v>
      </c>
      <c r="H45" s="14"/>
      <c r="I45" s="4" t="str">
        <f t="shared" si="8"/>
        <v>Defs</v>
      </c>
      <c r="J45" s="13" t="str">
        <f>IF(Table2[[#This Row],[!Type]]=J$1, J$1,"rg:None")</f>
        <v>rg:None</v>
      </c>
      <c r="K45" s="13" t="str">
        <f>IF(Table2[[#This Row],[!Type]]=K$1, K$1,"rg:None")</f>
        <v>rg:None</v>
      </c>
      <c r="L45" s="13" t="str">
        <f>IF(Table2[[#This Row],[!Type]]=L$1, L$1,"rg:None")</f>
        <v>datetime</v>
      </c>
      <c r="M45" s="13" t="str">
        <f>IF(Table2[[#This Row],[!Type]]=M$1, M$1,"rg:None")</f>
        <v>rg:None</v>
      </c>
      <c r="N45" s="13" t="str">
        <f>IF(Table2[[#This Row],[!Type]]=N$1, N$1,"rg:None")</f>
        <v>rg:None</v>
      </c>
      <c r="O45" s="13"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13" t="str">
        <f>IF(LEN(Table2[[#This Row],[!Length]]) &gt; 0, Table2[[#This Row],[!Length]], "rg:None")</f>
        <v>rg:None</v>
      </c>
      <c r="U45" s="13" t="str">
        <f>IF(LEN(Table2[[#This Row],[!Name]]) &gt; 0, Table2[[#This Row],[!Name]], "rg:None")</f>
        <v>effectiveDate</v>
      </c>
      <c r="V45" s="13" t="str">
        <f>IF(LEN(Table2[[#This Row],[!Description]]) &gt; 0, Table2[[#This Row],[!Description]], "rg:None")</f>
        <v>The datetime upon which the Credit Trade Zero Reason was activated for use.</v>
      </c>
      <c r="W45" s="13" t="str">
        <f>IF(LEN(Table2[[#This Row],[!FK]])&gt;0,Table2[[#This Row],[!FK]],"rg:None")</f>
        <v>rg:None</v>
      </c>
      <c r="X45" s="13" t="str">
        <f>IF(LEN(concatif2(A:A,Table2[[#This Row],[!Table]],G:G,"Y",D:D,",")) &gt; 0,"rg:[ { 'req' : '"&amp;concatif2(A:A,Table2[[#This Row],[!Table]],G:G,"Y",D:D,"' }, { 'req': '")&amp;"'} ]","rg:[]")</f>
        <v>rg:[ { 'req' : 'id' }, { 'req': 'reason' }, { 'req': 'description' }, { 'req': 'effectiveDate'} ]</v>
      </c>
      <c r="Y45" s="13" t="str">
        <f>IF(LEN(Table2[[#This Row],[!Unique]])&gt;0,IF(Table2[[#This Row],[!Type]] = "id", "rg:None","rg:True"),"rg:None")</f>
        <v>rg:None</v>
      </c>
    </row>
    <row r="46" spans="1:25" s="4" customFormat="1" ht="28.8" customHeight="1" x14ac:dyDescent="0.3">
      <c r="A46" s="84" t="s">
        <v>337</v>
      </c>
      <c r="B46" s="55" t="s">
        <v>11</v>
      </c>
      <c r="C46" s="5"/>
      <c r="D46" s="55" t="s">
        <v>165</v>
      </c>
      <c r="E46" s="87" t="s">
        <v>344</v>
      </c>
      <c r="F46" s="6"/>
      <c r="G46" s="57"/>
      <c r="H46" s="14"/>
      <c r="I46" s="4" t="str">
        <f t="shared" si="8"/>
        <v>Defs</v>
      </c>
      <c r="J46" s="13" t="str">
        <f>IF(Table2[[#This Row],[!Type]]=J$1, J$1,"rg:None")</f>
        <v>rg:None</v>
      </c>
      <c r="K46" s="13" t="str">
        <f>IF(Table2[[#This Row],[!Type]]=K$1, K$1,"rg:None")</f>
        <v>rg:None</v>
      </c>
      <c r="L46" s="13" t="str">
        <f>IF(Table2[[#This Row],[!Type]]=L$1, L$1,"rg:None")</f>
        <v>datetime</v>
      </c>
      <c r="M46" s="13" t="str">
        <f>IF(Table2[[#This Row],[!Type]]=M$1, M$1,"rg:None")</f>
        <v>rg:None</v>
      </c>
      <c r="N46" s="13" t="str">
        <f>IF(Table2[[#This Row],[!Type]]=N$1, N$1,"rg:None")</f>
        <v>rg:None</v>
      </c>
      <c r="O46" s="13"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13" t="str">
        <f>IF(LEN(Table2[[#This Row],[!Length]]) &gt; 0, Table2[[#This Row],[!Length]], "rg:None")</f>
        <v>rg:None</v>
      </c>
      <c r="U46" s="13" t="str">
        <f>IF(LEN(Table2[[#This Row],[!Name]]) &gt; 0, Table2[[#This Row],[!Name]], "rg:None")</f>
        <v>expirationDate</v>
      </c>
      <c r="V46" s="13" t="str">
        <f>IF(LEN(Table2[[#This Row],[!Description]]) &gt; 0, Table2[[#This Row],[!Description]], "rg:None")</f>
        <v>The data after which the Credit Trade Zero Reason will no longer be used.</v>
      </c>
      <c r="W46" s="13" t="str">
        <f>IF(LEN(Table2[[#This Row],[!FK]])&gt;0,Table2[[#This Row],[!FK]],"rg:None")</f>
        <v>rg:None</v>
      </c>
      <c r="X46" s="13" t="str">
        <f>IF(LEN(concatif2(A:A,Table2[[#This Row],[!Table]],G:G,"Y",D:D,",")) &gt; 0,"rg:[ { 'req' : '"&amp;concatif2(A:A,Table2[[#This Row],[!Table]],G:G,"Y",D:D,"' }, { 'req': '")&amp;"'} ]","rg:[]")</f>
        <v>rg:[ { 'req' : 'id' }, { 'req': 'reason' }, { 'req': 'description' }, { 'req': 'effectiveDate'} ]</v>
      </c>
      <c r="Y46" s="13" t="str">
        <f>IF(LEN(Table2[[#This Row],[!Unique]])&gt;0,IF(Table2[[#This Row],[!Type]] = "id", "rg:None","rg:True"),"rg:None")</f>
        <v>rg:None</v>
      </c>
    </row>
    <row r="47" spans="1:25" s="4" customFormat="1" ht="28.8" customHeight="1" x14ac:dyDescent="0.3">
      <c r="A47" s="84" t="s">
        <v>337</v>
      </c>
      <c r="B47" s="55" t="s">
        <v>12</v>
      </c>
      <c r="C47" s="5"/>
      <c r="D47" s="55" t="s">
        <v>166</v>
      </c>
      <c r="E47" s="87" t="s">
        <v>345</v>
      </c>
      <c r="F47" s="6"/>
      <c r="G47" s="14"/>
      <c r="H47" s="14"/>
      <c r="I47" s="4" t="str">
        <f>IF(LEN(A47) &gt; 0,"Defs","-")</f>
        <v>Defs</v>
      </c>
      <c r="J47" s="13" t="str">
        <f>IF(Table2[[#This Row],[!Type]]=J$1, J$1,"rg:None")</f>
        <v>rg:None</v>
      </c>
      <c r="K47" s="13" t="str">
        <f>IF(Table2[[#This Row],[!Type]]=K$1, K$1,"rg:None")</f>
        <v>rg:None</v>
      </c>
      <c r="L47" s="13" t="str">
        <f>IF(Table2[[#This Row],[!Type]]=L$1, L$1,"rg:None")</f>
        <v>rg:None</v>
      </c>
      <c r="M47" s="13" t="str">
        <f>IF(Table2[[#This Row],[!Type]]=M$1, M$1,"rg:None")</f>
        <v>rg:None</v>
      </c>
      <c r="N47" s="13" t="str">
        <f>IF(Table2[[#This Row],[!Type]]=N$1, N$1,"rg:None")</f>
        <v>integer</v>
      </c>
      <c r="O47" s="13"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rg:None</v>
      </c>
      <c r="T47" s="13" t="str">
        <f>IF(LEN(Table2[[#This Row],[!Length]]) &gt; 0, Table2[[#This Row],[!Length]], "rg:None")</f>
        <v>rg:None</v>
      </c>
      <c r="U47" s="13" t="str">
        <f>IF(LEN(Table2[[#This Row],[!Name]]) &gt; 0, Table2[[#This Row],[!Name]], "rg:None")</f>
        <v>displayOrder</v>
      </c>
      <c r="V47" s="13" t="str">
        <f>IF(LEN(Table2[[#This Row],[!Description]]) &gt; 0, Table2[[#This Row],[!Description]], "rg:None")</f>
        <v>The order of display of the Credit Trade Zero Reason. In general the order will be listed in the order of expected frequency.</v>
      </c>
      <c r="W47" s="13" t="str">
        <f>IF(LEN(Table2[[#This Row],[!FK]])&gt;0,Table2[[#This Row],[!FK]],"rg:None")</f>
        <v>rg:None</v>
      </c>
      <c r="X47" s="13" t="str">
        <f>IF(LEN(concatif2(A:A,Table2[[#This Row],[!Table]],G:G,"Y",D:D,",")) &gt; 0,"rg:[ { 'req' : '"&amp;concatif2(A:A,Table2[[#This Row],[!Table]],G:G,"Y",D:D,"' }, { 'req': '")&amp;"'} ]","rg:[]")</f>
        <v>rg:[ { 'req' : 'id' }, { 'req': 'reason' }, { 'req': 'description' }, { 'req': 'effectiveDate'} ]</v>
      </c>
      <c r="Y47" s="13" t="str">
        <f>IF(LEN(Table2[[#This Row],[!Unique]])&gt;0,IF(Table2[[#This Row],[!Type]] = "id", "rg:None","rg:True"),"rg:None")</f>
        <v>rg:None</v>
      </c>
    </row>
    <row r="48" spans="1:25" s="4" customFormat="1" ht="28.8" customHeight="1" x14ac:dyDescent="0.3">
      <c r="A48" s="55" t="s">
        <v>127</v>
      </c>
      <c r="B48" s="5" t="s">
        <v>4</v>
      </c>
      <c r="C48" s="5"/>
      <c r="D48" s="29" t="s">
        <v>127</v>
      </c>
      <c r="E48" s="69" t="s">
        <v>268</v>
      </c>
      <c r="F48" s="5" t="s">
        <v>5</v>
      </c>
      <c r="I48" s="5" t="str">
        <f t="shared" si="2"/>
        <v>Defs</v>
      </c>
      <c r="J48" s="8" t="str">
        <f>IF(Table2[[#This Row],[!Type]]=J$1, J$1,"rg:None")</f>
        <v>rg:None</v>
      </c>
      <c r="K48" s="8" t="str">
        <f>IF(Table2[[#This Row],[!Type]]=K$1, K$1,"rg:None")</f>
        <v>rg:None</v>
      </c>
      <c r="L48" s="8" t="str">
        <f>IF(Table2[[#This Row],[!Type]]=L$1, L$1,"rg:None")</f>
        <v>rg:None</v>
      </c>
      <c r="M48" s="8" t="str">
        <f>IF(Table2[[#This Row],[!Type]]=M$1, M$1,"rg:None")</f>
        <v>rg:None</v>
      </c>
      <c r="N48" s="8" t="str">
        <f>IF(Table2[[#This Row],[!Type]]=N$1, N$1,"rg:None")</f>
        <v>rg:None</v>
      </c>
      <c r="O48" s="8"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table</v>
      </c>
      <c r="T48" s="8" t="str">
        <f>IF(LEN(Table2[[#This Row],[!Length]]) &gt; 0, Table2[[#This Row],[!Length]], "rg:None")</f>
        <v>rg:None</v>
      </c>
      <c r="U48" s="8" t="str">
        <f>IF(LEN(Table2[[#This Row],[!Name]]) &gt; 0, Table2[[#This Row],[!Name]], "rg:None")</f>
        <v>FuelSupplier</v>
      </c>
      <c r="V48" s="8" t="str">
        <f>IF(LEN(Table2[[#This Row],[!Description]]) &gt; 0, Table2[[#This Row],[!Description]], "rg:None")</f>
        <v>A Fuel Supplier that is or was eligible to be a part of the Low Carbon Fuel Credits trading program.</v>
      </c>
      <c r="W48" s="8" t="str">
        <f>IF(LEN(Table2[[#This Row],[!FK]])&gt;0,Table2[[#This Row],[!FK]],"rg:None")</f>
        <v>rg:None</v>
      </c>
      <c r="X48" s="8" t="str">
        <f>IF(LEN(concatif2(A:A,Table2[[#This Row],[!Table]],G:G,"Y",D:D,",")) &gt; 0,"rg:[ { 'req' : '"&amp;concatif2(A:A,Table2[[#This Row],[!Table]],G:G,"Y",D:D,"' }, { 'req': '")&amp;"'} ]","rg:[]")</f>
        <v>rg:[ { 'req' : 'id' }, { 'req': 'name' }, { 'req': 'fuelSupplierStatusFK' }, { 'req': 'fuelSupplierActionsTypeFK' }, { 'req': 'createdDate'} ]</v>
      </c>
      <c r="Y48" s="8" t="str">
        <f>IF(LEN(Table2[[#This Row],[!Unique]])&gt;0,IF(Table2[[#This Row],[!Type]] = "id", "rg:None","rg:True"),"rg:None")</f>
        <v>rg:None</v>
      </c>
    </row>
    <row r="49" spans="1:25" s="4" customFormat="1" ht="28.8" x14ac:dyDescent="0.3">
      <c r="A49" s="29" t="s">
        <v>127</v>
      </c>
      <c r="B49" s="5" t="s">
        <v>6</v>
      </c>
      <c r="C49" s="5"/>
      <c r="D49" s="5" t="s">
        <v>6</v>
      </c>
      <c r="E49" s="69" t="s">
        <v>269</v>
      </c>
      <c r="F49" s="5" t="s">
        <v>5</v>
      </c>
      <c r="G49" s="4" t="s">
        <v>38</v>
      </c>
      <c r="H49" s="20" t="s">
        <v>38</v>
      </c>
      <c r="I49" s="5" t="str">
        <f t="shared" si="2"/>
        <v>Defs</v>
      </c>
      <c r="J49" s="8" t="str">
        <f>IF(Table2[[#This Row],[!Type]]=J$1, J$1,"rg:None")</f>
        <v>rg:None</v>
      </c>
      <c r="K49" s="8" t="str">
        <f>IF(Table2[[#This Row],[!Type]]=K$1, K$1,"rg:None")</f>
        <v>rg:None</v>
      </c>
      <c r="L49" s="8" t="str">
        <f>IF(Table2[[#This Row],[!Type]]=L$1, L$1,"rg:None")</f>
        <v>rg:None</v>
      </c>
      <c r="M49" s="8" t="str">
        <f>IF(Table2[[#This Row],[!Type]]=M$1, M$1,"rg:None")</f>
        <v>id</v>
      </c>
      <c r="N49" s="8" t="str">
        <f>IF(Table2[[#This Row],[!Type]]=N$1, N$1,"rg:None")</f>
        <v>rg:None</v>
      </c>
      <c r="O49" s="8" t="str">
        <f>IF(Table2[[#This Row],[!Type]]=O$1, O$1,"rg:None")</f>
        <v>rg:None</v>
      </c>
      <c r="P49" s="5" t="str">
        <f>IF(Table2[[#This Row],[!Type]]=P$1, P$1,"rg:None")</f>
        <v>rg:None</v>
      </c>
      <c r="Q49" s="5" t="str">
        <f>IF(Table2[[#This Row],[!Type]]=Q$1, Q$1,"rg:None")</f>
        <v>rg:None</v>
      </c>
      <c r="R49" s="5" t="str">
        <f>IF(Table2[[#This Row],[!Type]]=R$1, R$1,"rg:None")</f>
        <v>rg:None</v>
      </c>
      <c r="S49" s="5" t="str">
        <f>IF(Table2[[#This Row],[!Type]]=S$1, S$1,"rg:None")</f>
        <v>rg:None</v>
      </c>
      <c r="T49" s="8" t="str">
        <f>IF(LEN(Table2[[#This Row],[!Length]]) &gt; 0, Table2[[#This Row],[!Length]], "rg:None")</f>
        <v>rg:None</v>
      </c>
      <c r="U49" s="8" t="str">
        <f>IF(LEN(Table2[[#This Row],[!Name]]) &gt; 0, Table2[[#This Row],[!Name]], "rg:None")</f>
        <v>id</v>
      </c>
      <c r="V49" s="8" t="str">
        <f>IF(LEN(Table2[[#This Row],[!Description]]) &gt; 0, Table2[[#This Row],[!Description]], "rg:None")</f>
        <v>A system-generated unique identifier for the Fuel Supplier.</v>
      </c>
      <c r="W49" s="8" t="str">
        <f>IF(LEN(Table2[[#This Row],[!FK]])&gt;0,Table2[[#This Row],[!FK]],"rg:None")</f>
        <v>rg:None</v>
      </c>
      <c r="X49" s="8" t="str">
        <f>IF(LEN(concatif2(A:A,Table2[[#This Row],[!Table]],G:G,"Y",D:D,",")) &gt; 0,"rg:[ { 'req' : '"&amp;concatif2(A:A,Table2[[#This Row],[!Table]],G:G,"Y",D:D,"' }, { 'req': '")&amp;"'} ]","rg:[]")</f>
        <v>rg:[ { 'req' : 'id' }, { 'req': 'name' }, { 'req': 'fuelSupplierStatusFK' }, { 'req': 'fuelSupplierActionsTypeFK' }, { 'req': 'createdDate'} ]</v>
      </c>
      <c r="Y49" s="8" t="str">
        <f>IF(LEN(Table2[[#This Row],[!Unique]])&gt;0,IF(Table2[[#This Row],[!Type]] = "id", "rg:None","rg:True"),"rg:None")</f>
        <v>rg:None</v>
      </c>
    </row>
    <row r="50" spans="1:25" s="4" customFormat="1" ht="28.8" customHeight="1" x14ac:dyDescent="0.3">
      <c r="A50" s="29" t="s">
        <v>127</v>
      </c>
      <c r="B50" s="5" t="s">
        <v>7</v>
      </c>
      <c r="C50" s="5">
        <v>500</v>
      </c>
      <c r="D50" s="5" t="s">
        <v>14</v>
      </c>
      <c r="E50" s="68" t="s">
        <v>169</v>
      </c>
      <c r="F50" s="5" t="s">
        <v>5</v>
      </c>
      <c r="G50" s="20" t="s">
        <v>38</v>
      </c>
      <c r="H50" s="20" t="s">
        <v>38</v>
      </c>
      <c r="I50" s="5" t="str">
        <f t="shared" si="2"/>
        <v>Defs</v>
      </c>
      <c r="J50" s="8" t="str">
        <f>IF(Table2[[#This Row],[!Type]]=J$1, J$1,"rg:None")</f>
        <v>rg:None</v>
      </c>
      <c r="K50" s="8" t="str">
        <f>IF(Table2[[#This Row],[!Type]]=K$1, K$1,"rg:None")</f>
        <v>rg:None</v>
      </c>
      <c r="L50" s="8" t="str">
        <f>IF(Table2[[#This Row],[!Type]]=L$1, L$1,"rg:None")</f>
        <v>rg:None</v>
      </c>
      <c r="M50" s="8" t="str">
        <f>IF(Table2[[#This Row],[!Type]]=M$1, M$1,"rg:None")</f>
        <v>rg:None</v>
      </c>
      <c r="N50" s="8" t="str">
        <f>IF(Table2[[#This Row],[!Type]]=N$1, N$1,"rg:None")</f>
        <v>rg:None</v>
      </c>
      <c r="O50" s="8" t="str">
        <f>IF(Table2[[#This Row],[!Type]]=O$1, O$1,"rg:None")</f>
        <v>rg:None</v>
      </c>
      <c r="P50" s="5" t="str">
        <f>IF(Table2[[#This Row],[!Type]]=P$1, P$1,"rg:None")</f>
        <v>rg:None</v>
      </c>
      <c r="Q50" s="5" t="str">
        <f>IF(Table2[[#This Row],[!Type]]=Q$1, Q$1,"rg:None")</f>
        <v>rg:None</v>
      </c>
      <c r="R50" s="5" t="str">
        <f>IF(Table2[[#This Row],[!Type]]=R$1, R$1,"rg:None")</f>
        <v>string</v>
      </c>
      <c r="S50" s="5" t="str">
        <f>IF(Table2[[#This Row],[!Type]]=S$1, S$1,"rg:None")</f>
        <v>rg:None</v>
      </c>
      <c r="T50" s="8">
        <f>IF(LEN(Table2[[#This Row],[!Length]]) &gt; 0, Table2[[#This Row],[!Length]], "rg:None")</f>
        <v>500</v>
      </c>
      <c r="U50" s="8" t="str">
        <f>IF(LEN(Table2[[#This Row],[!Name]]) &gt; 0, Table2[[#This Row],[!Name]], "rg:None")</f>
        <v>name</v>
      </c>
      <c r="V50" s="8" t="str">
        <f>IF(LEN(Table2[[#This Row],[!Description]]) &gt; 0, Table2[[#This Row],[!Description]], "rg:None")</f>
        <v>The name of the Fuel Supplier pulled from the Common Client information about the Fuel Supplier.</v>
      </c>
      <c r="W50" s="8" t="str">
        <f>IF(LEN(Table2[[#This Row],[!FK]])&gt;0,Table2[[#This Row],[!FK]],"rg:None")</f>
        <v>rg:None</v>
      </c>
      <c r="X50" s="8" t="str">
        <f>IF(LEN(concatif2(A:A,Table2[[#This Row],[!Table]],G:G,"Y",D:D,",")) &gt; 0,"rg:[ { 'req' : '"&amp;concatif2(A:A,Table2[[#This Row],[!Table]],G:G,"Y",D:D,"' }, { 'req': '")&amp;"'} ]","rg:[]")</f>
        <v>rg:[ { 'req' : 'id' }, { 'req': 'name' }, { 'req': 'fuelSupplierStatusFK' }, { 'req': 'fuelSupplierActionsTypeFK' }, { 'req': 'createdDate'} ]</v>
      </c>
      <c r="Y50" s="8" t="str">
        <f>IF(LEN(Table2[[#This Row],[!Unique]])&gt;0,IF(Table2[[#This Row],[!Type]] = "id", "rg:None","rg:True"),"rg:None")</f>
        <v>rg:True</v>
      </c>
    </row>
    <row r="51" spans="1:25" s="4" customFormat="1" ht="16.05" customHeight="1" x14ac:dyDescent="0.3">
      <c r="A51" s="29" t="s">
        <v>127</v>
      </c>
      <c r="B51" s="44" t="s">
        <v>8</v>
      </c>
      <c r="C51" s="5"/>
      <c r="D51" s="82" t="s">
        <v>327</v>
      </c>
      <c r="E51" s="69" t="s">
        <v>270</v>
      </c>
      <c r="F51" s="44" t="s">
        <v>139</v>
      </c>
      <c r="G51" s="20" t="s">
        <v>38</v>
      </c>
      <c r="I51" s="5" t="str">
        <f t="shared" si="2"/>
        <v>Defs</v>
      </c>
      <c r="J51" s="8" t="str">
        <f>IF(Table2[[#This Row],[!Type]]=J$1, J$1,"rg:None")</f>
        <v>rg:None</v>
      </c>
      <c r="K51" s="8" t="str">
        <f>IF(Table2[[#This Row],[!Type]]=K$1, K$1,"rg:None")</f>
        <v>rg:None</v>
      </c>
      <c r="L51" s="8" t="str">
        <f>IF(Table2[[#This Row],[!Type]]=L$1, L$1,"rg:None")</f>
        <v>rg:None</v>
      </c>
      <c r="M51" s="8" t="str">
        <f>IF(Table2[[#This Row],[!Type]]=M$1, M$1,"rg:None")</f>
        <v>rg:None</v>
      </c>
      <c r="N51" s="8" t="str">
        <f>IF(Table2[[#This Row],[!Type]]=N$1, N$1,"rg:None")</f>
        <v>rg:None</v>
      </c>
      <c r="O51" s="8" t="str">
        <f>IF(Table2[[#This Row],[!Type]]=O$1, O$1,"rg:None")</f>
        <v>rg:None</v>
      </c>
      <c r="P51" s="5" t="str">
        <f>IF(Table2[[#This Row],[!Type]]=P$1, P$1,"rg:None")</f>
        <v>rg:None</v>
      </c>
      <c r="Q51" s="5" t="str">
        <f>IF(Table2[[#This Row],[!Type]]=Q$1, Q$1,"rg:None")</f>
        <v>ref</v>
      </c>
      <c r="R51" s="5" t="str">
        <f>IF(Table2[[#This Row],[!Type]]=R$1, R$1,"rg:None")</f>
        <v>rg:None</v>
      </c>
      <c r="S51" s="5" t="str">
        <f>IF(Table2[[#This Row],[!Type]]=S$1, S$1,"rg:None")</f>
        <v>rg:None</v>
      </c>
      <c r="T51" s="8" t="str">
        <f>IF(LEN(Table2[[#This Row],[!Length]]) &gt; 0, Table2[[#This Row],[!Length]], "rg:None")</f>
        <v>rg:None</v>
      </c>
      <c r="U51" s="8" t="str">
        <f>IF(LEN(Table2[[#This Row],[!Name]]) &gt; 0, Table2[[#This Row],[!Name]], "rg:None")</f>
        <v>fuelSupplierStatusFK</v>
      </c>
      <c r="V51" s="8" t="str">
        <f>IF(LEN(Table2[[#This Row],[!Description]]) &gt; 0, Table2[[#This Row],[!Description]], "rg:None")</f>
        <v>A foreign key reference to the Fuel Supplier Status.</v>
      </c>
      <c r="W51" s="8" t="str">
        <f>IF(LEN(Table2[[#This Row],[!FK]])&gt;0,Table2[[#This Row],[!FK]],"rg:None")</f>
        <v>FuelSupplierStatus</v>
      </c>
      <c r="X51" s="8" t="str">
        <f>IF(LEN(concatif2(A:A,Table2[[#This Row],[!Table]],G:G,"Y",D:D,",")) &gt; 0,"rg:[ { 'req' : '"&amp;concatif2(A:A,Table2[[#This Row],[!Table]],G:G,"Y",D:D,"' }, { 'req': '")&amp;"'} ]","rg:[]")</f>
        <v>rg:[ { 'req' : 'id' }, { 'req': 'name' }, { 'req': 'fuelSupplierStatusFK' }, { 'req': 'fuelSupplierActionsTypeFK' }, { 'req': 'createdDate'} ]</v>
      </c>
      <c r="Y51" s="8" t="str">
        <f>IF(LEN(Table2[[#This Row],[!Unique]])&gt;0,IF(Table2[[#This Row],[!Type]] = "id", "rg:None","rg:True"),"rg:None")</f>
        <v>rg:None</v>
      </c>
    </row>
    <row r="52" spans="1:25" s="4" customFormat="1" ht="29.4" customHeight="1" x14ac:dyDescent="0.3">
      <c r="A52" s="29" t="s">
        <v>127</v>
      </c>
      <c r="B52" s="64" t="s">
        <v>8</v>
      </c>
      <c r="C52" s="5"/>
      <c r="D52" s="82" t="s">
        <v>328</v>
      </c>
      <c r="E52" s="69" t="s">
        <v>271</v>
      </c>
      <c r="F52" s="64" t="s">
        <v>204</v>
      </c>
      <c r="G52" s="67" t="s">
        <v>38</v>
      </c>
      <c r="H52" s="14"/>
      <c r="I52" s="4" t="str">
        <f>IF(LEN(A52) &gt; 0,"Defs","-")</f>
        <v>Defs</v>
      </c>
      <c r="J52" s="13" t="str">
        <f>IF(Table2[[#This Row],[!Type]]=J$1, J$1,"rg:None")</f>
        <v>rg:None</v>
      </c>
      <c r="K52" s="13" t="str">
        <f>IF(Table2[[#This Row],[!Type]]=K$1, K$1,"rg:None")</f>
        <v>rg:None</v>
      </c>
      <c r="L52" s="13" t="str">
        <f>IF(Table2[[#This Row],[!Type]]=L$1, L$1,"rg:None")</f>
        <v>rg:None</v>
      </c>
      <c r="M52" s="13" t="str">
        <f>IF(Table2[[#This Row],[!Type]]=M$1, M$1,"rg:None")</f>
        <v>rg:None</v>
      </c>
      <c r="N52" s="13" t="str">
        <f>IF(Table2[[#This Row],[!Type]]=N$1, N$1,"rg:None")</f>
        <v>rg:None</v>
      </c>
      <c r="O52" s="13" t="str">
        <f>IF(Table2[[#This Row],[!Type]]=O$1, O$1,"rg:None")</f>
        <v>rg:None</v>
      </c>
      <c r="P52" s="4" t="str">
        <f>IF(Table2[[#This Row],[!Type]]=P$1, P$1,"rg:None")</f>
        <v>rg:None</v>
      </c>
      <c r="Q52" s="4" t="str">
        <f>IF(Table2[[#This Row],[!Type]]=Q$1, Q$1,"rg:None")</f>
        <v>ref</v>
      </c>
      <c r="R52" s="4" t="str">
        <f>IF(Table2[[#This Row],[!Type]]=R$1, R$1,"rg:None")</f>
        <v>rg:None</v>
      </c>
      <c r="S52" s="4" t="str">
        <f>IF(Table2[[#This Row],[!Type]]=S$1, S$1,"rg:None")</f>
        <v>rg:None</v>
      </c>
      <c r="T52" s="13" t="str">
        <f>IF(LEN(Table2[[#This Row],[!Length]]) &gt; 0, Table2[[#This Row],[!Length]], "rg:None")</f>
        <v>rg:None</v>
      </c>
      <c r="U52" s="13" t="str">
        <f>IF(LEN(Table2[[#This Row],[!Name]]) &gt; 0, Table2[[#This Row],[!Name]], "rg:None")</f>
        <v>fuelSupplierActionsTypeFK</v>
      </c>
      <c r="V52" s="13" t="str">
        <f>IF(LEN(Table2[[#This Row],[!Description]]) &gt; 0, Table2[[#This Row],[!Description]], "rg:None")</f>
        <v>A foreign key reference to the Fuel Supplier's Actions Type.</v>
      </c>
      <c r="W52" s="13" t="str">
        <f>IF(LEN(Table2[[#This Row],[!FK]])&gt;0,Table2[[#This Row],[!FK]],"rg:None")</f>
        <v>FuelSupplierActionsType</v>
      </c>
      <c r="X52" s="13" t="str">
        <f>IF(LEN(concatif2(A:A,Table2[[#This Row],[!Table]],G:G,"Y",D:D,",")) &gt; 0,"rg:[ { 'req' : '"&amp;concatif2(A:A,Table2[[#This Row],[!Table]],G:G,"Y",D:D,"' }, { 'req': '")&amp;"'} ]","rg:[]")</f>
        <v>rg:[ { 'req' : 'id' }, { 'req': 'name' }, { 'req': 'fuelSupplierStatusFK' }, { 'req': 'fuelSupplierActionsTypeFK' }, { 'req': 'createdDate'} ]</v>
      </c>
      <c r="Y52" s="13" t="str">
        <f>IF(LEN(Table2[[#This Row],[!Unique]])&gt;0,IF(Table2[[#This Row],[!Type]] = "id", "rg:None","rg:True"),"rg:None")</f>
        <v>rg:None</v>
      </c>
    </row>
    <row r="53" spans="1:25" s="4" customFormat="1" ht="28.8" customHeight="1" x14ac:dyDescent="0.3">
      <c r="A53" s="29" t="s">
        <v>127</v>
      </c>
      <c r="B53" s="5" t="s">
        <v>11</v>
      </c>
      <c r="C53" s="5"/>
      <c r="D53" s="82" t="s">
        <v>320</v>
      </c>
      <c r="E53" s="68" t="s">
        <v>212</v>
      </c>
      <c r="F53" s="5" t="s">
        <v>5</v>
      </c>
      <c r="G53" s="20" t="s">
        <v>38</v>
      </c>
      <c r="I53" s="5" t="str">
        <f t="shared" si="2"/>
        <v>Defs</v>
      </c>
      <c r="J53" s="8" t="str">
        <f>IF(Table2[[#This Row],[!Type]]=J$1, J$1,"rg:None")</f>
        <v>rg:None</v>
      </c>
      <c r="K53" s="8" t="str">
        <f>IF(Table2[[#This Row],[!Type]]=K$1, K$1,"rg:None")</f>
        <v>rg:None</v>
      </c>
      <c r="L53" s="8" t="str">
        <f>IF(Table2[[#This Row],[!Type]]=L$1, L$1,"rg:None")</f>
        <v>datetime</v>
      </c>
      <c r="M53" s="8" t="str">
        <f>IF(Table2[[#This Row],[!Type]]=M$1, M$1,"rg:None")</f>
        <v>rg:None</v>
      </c>
      <c r="N53" s="8" t="str">
        <f>IF(Table2[[#This Row],[!Type]]=N$1, N$1,"rg:None")</f>
        <v>rg:None</v>
      </c>
      <c r="O53" s="8" t="str">
        <f>IF(Table2[[#This Row],[!Type]]=O$1, O$1,"rg:None")</f>
        <v>rg:None</v>
      </c>
      <c r="P53" s="5" t="str">
        <f>IF(Table2[[#This Row],[!Type]]=P$1, P$1,"rg:None")</f>
        <v>rg:None</v>
      </c>
      <c r="Q53" s="5" t="str">
        <f>IF(Table2[[#This Row],[!Type]]=Q$1, Q$1,"rg:None")</f>
        <v>rg:None</v>
      </c>
      <c r="R53" s="5" t="str">
        <f>IF(Table2[[#This Row],[!Type]]=R$1, R$1,"rg:None")</f>
        <v>rg:None</v>
      </c>
      <c r="S53" s="5" t="str">
        <f>IF(Table2[[#This Row],[!Type]]=S$1, S$1,"rg:None")</f>
        <v>rg:None</v>
      </c>
      <c r="T53" s="8" t="str">
        <f>IF(LEN(Table2[[#This Row],[!Length]]) &gt; 0, Table2[[#This Row],[!Length]], "rg:None")</f>
        <v>rg:None</v>
      </c>
      <c r="U53" s="8" t="str">
        <f>IF(LEN(Table2[[#This Row],[!Name]]) &gt; 0, Table2[[#This Row],[!Name]], "rg:None")</f>
        <v>createdDate</v>
      </c>
      <c r="V53" s="8" t="str">
        <f>IF(LEN(Table2[[#This Row],[!Description]]) &gt; 0, Table2[[#This Row],[!Description]], "rg:None")</f>
        <v>The date/time the Fuel Supplier was added as a Fuel Supplier to the TFRS program.</v>
      </c>
      <c r="W53" s="8" t="str">
        <f>IF(LEN(Table2[[#This Row],[!FK]])&gt;0,Table2[[#This Row],[!FK]],"rg:None")</f>
        <v>rg:None</v>
      </c>
      <c r="X53" s="8" t="str">
        <f>IF(LEN(concatif2(A:A,Table2[[#This Row],[!Table]],G:G,"Y",D:D,",")) &gt; 0,"rg:[ { 'req' : '"&amp;concatif2(A:A,Table2[[#This Row],[!Table]],G:G,"Y",D:D,"' }, { 'req': '")&amp;"'} ]","rg:[]")</f>
        <v>rg:[ { 'req' : 'id' }, { 'req': 'name' }, { 'req': 'fuelSupplierStatusFK' }, { 'req': 'fuelSupplierActionsTypeFK' }, { 'req': 'createdDate'} ]</v>
      </c>
      <c r="Y53" s="8" t="str">
        <f>IF(LEN(Table2[[#This Row],[!Unique]])&gt;0,IF(Table2[[#This Row],[!Type]] = "id", "rg:None","rg:True"),"rg:None")</f>
        <v>rg:None</v>
      </c>
    </row>
    <row r="54" spans="1:25" s="4" customFormat="1" ht="86.4" customHeight="1" x14ac:dyDescent="0.3">
      <c r="A54" s="61" t="s">
        <v>177</v>
      </c>
      <c r="B54" s="61" t="s">
        <v>4</v>
      </c>
      <c r="C54" s="5"/>
      <c r="D54" s="61" t="s">
        <v>177</v>
      </c>
      <c r="E54" s="69" t="s">
        <v>272</v>
      </c>
      <c r="F54" s="6"/>
      <c r="G54" s="14"/>
      <c r="H54" s="14"/>
      <c r="I54" s="4" t="str">
        <f t="shared" ref="I54:I64" si="9">IF(LEN(A54) &gt; 0,"Defs","-")</f>
        <v>Defs</v>
      </c>
      <c r="J54" s="13" t="str">
        <f>IF(Table2[[#This Row],[!Type]]=J$1, J$1,"rg:None")</f>
        <v>rg:None</v>
      </c>
      <c r="K54" s="13" t="str">
        <f>IF(Table2[[#This Row],[!Type]]=K$1, K$1,"rg:None")</f>
        <v>rg:None</v>
      </c>
      <c r="L54" s="13" t="str">
        <f>IF(Table2[[#This Row],[!Type]]=L$1, L$1,"rg:None")</f>
        <v>rg:None</v>
      </c>
      <c r="M54" s="13" t="str">
        <f>IF(Table2[[#This Row],[!Type]]=M$1, M$1,"rg:None")</f>
        <v>rg:None</v>
      </c>
      <c r="N54" s="13" t="str">
        <f>IF(Table2[[#This Row],[!Type]]=N$1, N$1,"rg:None")</f>
        <v>rg:None</v>
      </c>
      <c r="O54" s="13"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table</v>
      </c>
      <c r="T54" s="13" t="str">
        <f>IF(LEN(Table2[[#This Row],[!Length]]) &gt; 0, Table2[[#This Row],[!Length]], "rg:None")</f>
        <v>rg:None</v>
      </c>
      <c r="U54" s="13" t="str">
        <f>IF(LEN(Table2[[#This Row],[!Name]]) &gt; 0, Table2[[#This Row],[!Name]], "rg:None")</f>
        <v>FuelSupplierCCData</v>
      </c>
      <c r="V54" s="13" t="str">
        <f>IF(LEN(Table2[[#This Row],[!Description]]) &gt; 0, Table2[[#This Row],[!Description]], "rg:None")</f>
        <v>Information from the Natural Resources Sector's Common Client system about the Fuel Supplier. The data is a cache of the data in Common Client and is ideally (assuming Common Client is online) updated on each access of the information, and periodically (for reporting purposes).</v>
      </c>
      <c r="W54" s="13" t="str">
        <f>IF(LEN(Table2[[#This Row],[!FK]])&gt;0,Table2[[#This Row],[!FK]],"rg:None")</f>
        <v>rg:None</v>
      </c>
      <c r="X54" s="13" t="str">
        <f>IF(LEN(concatif2(A:A,Table2[[#This Row],[!Table]],G:G,"Y",D:D,",")) &gt; 0,"rg:[ { 'req' : '"&amp;concatif2(A:A,Table2[[#This Row],[!Table]],G:G,"Y",D:D,"' }, { 'req': '")&amp;"'} ]","rg:[]")</f>
        <v>rg:[ { 'req' : 'id' }, { 'req': 'fuelSupplierFK' }, { 'req': 'commonClientOrgId' }, { 'req': 'lastUpdatefromCommonClient' }, { 'req': 'name'} ]</v>
      </c>
      <c r="Y54" s="13" t="str">
        <f>IF(LEN(Table2[[#This Row],[!Unique]])&gt;0,IF(Table2[[#This Row],[!Type]] = "id", "rg:None","rg:True"),"rg:None")</f>
        <v>rg:None</v>
      </c>
    </row>
    <row r="55" spans="1:25" s="4" customFormat="1" ht="28.8" x14ac:dyDescent="0.3">
      <c r="A55" s="61" t="s">
        <v>177</v>
      </c>
      <c r="B55" s="61" t="s">
        <v>6</v>
      </c>
      <c r="C55" s="5"/>
      <c r="D55" s="61" t="s">
        <v>6</v>
      </c>
      <c r="E55" s="69" t="s">
        <v>273</v>
      </c>
      <c r="F55" s="6"/>
      <c r="G55" s="63" t="s">
        <v>38</v>
      </c>
      <c r="H55" s="63" t="s">
        <v>38</v>
      </c>
      <c r="I55" s="4" t="str">
        <f t="shared" si="9"/>
        <v>Defs</v>
      </c>
      <c r="J55" s="13" t="str">
        <f>IF(Table2[[#This Row],[!Type]]=J$1, J$1,"rg:None")</f>
        <v>rg:None</v>
      </c>
      <c r="K55" s="13" t="str">
        <f>IF(Table2[[#This Row],[!Type]]=K$1, K$1,"rg:None")</f>
        <v>rg:None</v>
      </c>
      <c r="L55" s="13" t="str">
        <f>IF(Table2[[#This Row],[!Type]]=L$1, L$1,"rg:None")</f>
        <v>rg:None</v>
      </c>
      <c r="M55" s="13" t="str">
        <f>IF(Table2[[#This Row],[!Type]]=M$1, M$1,"rg:None")</f>
        <v>id</v>
      </c>
      <c r="N55" s="13" t="str">
        <f>IF(Table2[[#This Row],[!Type]]=N$1, N$1,"rg:None")</f>
        <v>rg:None</v>
      </c>
      <c r="O55" s="13" t="str">
        <f>IF(Table2[[#This Row],[!Type]]=O$1, O$1,"rg:None")</f>
        <v>rg:None</v>
      </c>
      <c r="P55" s="4" t="str">
        <f>IF(Table2[[#This Row],[!Type]]=P$1, P$1,"rg:None")</f>
        <v>rg:None</v>
      </c>
      <c r="Q55" s="4" t="str">
        <f>IF(Table2[[#This Row],[!Type]]=Q$1, Q$1,"rg:None")</f>
        <v>rg:None</v>
      </c>
      <c r="R55" s="4" t="str">
        <f>IF(Table2[[#This Row],[!Type]]=R$1, R$1,"rg:None")</f>
        <v>rg:None</v>
      </c>
      <c r="S55" s="4" t="str">
        <f>IF(Table2[[#This Row],[!Type]]=S$1, S$1,"rg:None")</f>
        <v>rg:None</v>
      </c>
      <c r="T55" s="13" t="str">
        <f>IF(LEN(Table2[[#This Row],[!Length]]) &gt; 0, Table2[[#This Row],[!Length]], "rg:None")</f>
        <v>rg:None</v>
      </c>
      <c r="U55" s="13" t="str">
        <f>IF(LEN(Table2[[#This Row],[!Name]]) &gt; 0, Table2[[#This Row],[!Name]], "rg:None")</f>
        <v>id</v>
      </c>
      <c r="V55" s="13" t="str">
        <f>IF(LEN(Table2[[#This Row],[!Description]]) &gt; 0, Table2[[#This Row],[!Description]], "rg:None")</f>
        <v>A system-generated unique identifier for the Fuel Supplier Common Client record.</v>
      </c>
      <c r="W55" s="13" t="str">
        <f>IF(LEN(Table2[[#This Row],[!FK]])&gt;0,Table2[[#This Row],[!FK]],"rg:None")</f>
        <v>rg:None</v>
      </c>
      <c r="X55" s="13" t="str">
        <f>IF(LEN(concatif2(A:A,Table2[[#This Row],[!Table]],G:G,"Y",D:D,",")) &gt; 0,"rg:[ { 'req' : '"&amp;concatif2(A:A,Table2[[#This Row],[!Table]],G:G,"Y",D:D,"' }, { 'req': '")&amp;"'} ]","rg:[]")</f>
        <v>rg:[ { 'req' : 'id' }, { 'req': 'fuelSupplierFK' }, { 'req': 'commonClientOrgId' }, { 'req': 'lastUpdatefromCommonClient' }, { 'req': 'name'} ]</v>
      </c>
      <c r="Y55" s="13" t="str">
        <f>IF(LEN(Table2[[#This Row],[!Unique]])&gt;0,IF(Table2[[#This Row],[!Type]] = "id", "rg:None","rg:True"),"rg:None")</f>
        <v>rg:None</v>
      </c>
    </row>
    <row r="56" spans="1:25" s="4" customFormat="1" ht="28.8" customHeight="1" x14ac:dyDescent="0.3">
      <c r="A56" s="61" t="s">
        <v>177</v>
      </c>
      <c r="B56" s="61" t="s">
        <v>8</v>
      </c>
      <c r="C56" s="5"/>
      <c r="D56" s="82" t="s">
        <v>326</v>
      </c>
      <c r="E56" s="69" t="s">
        <v>274</v>
      </c>
      <c r="F56" s="60" t="s">
        <v>127</v>
      </c>
      <c r="G56" s="63" t="s">
        <v>38</v>
      </c>
      <c r="H56" s="63"/>
      <c r="I56" s="4" t="str">
        <f t="shared" si="9"/>
        <v>Defs</v>
      </c>
      <c r="J56" s="13" t="str">
        <f>IF(Table2[[#This Row],[!Type]]=J$1, J$1,"rg:None")</f>
        <v>rg:None</v>
      </c>
      <c r="K56" s="13" t="str">
        <f>IF(Table2[[#This Row],[!Type]]=K$1, K$1,"rg:None")</f>
        <v>rg:None</v>
      </c>
      <c r="L56" s="13" t="str">
        <f>IF(Table2[[#This Row],[!Type]]=L$1, L$1,"rg:None")</f>
        <v>rg:None</v>
      </c>
      <c r="M56" s="13" t="str">
        <f>IF(Table2[[#This Row],[!Type]]=M$1, M$1,"rg:None")</f>
        <v>rg:None</v>
      </c>
      <c r="N56" s="13" t="str">
        <f>IF(Table2[[#This Row],[!Type]]=N$1, N$1,"rg:None")</f>
        <v>rg:None</v>
      </c>
      <c r="O56" s="13" t="str">
        <f>IF(Table2[[#This Row],[!Type]]=O$1, O$1,"rg:None")</f>
        <v>rg:None</v>
      </c>
      <c r="P56" s="4" t="str">
        <f>IF(Table2[[#This Row],[!Type]]=P$1, P$1,"rg:None")</f>
        <v>rg:None</v>
      </c>
      <c r="Q56" s="4" t="str">
        <f>IF(Table2[[#This Row],[!Type]]=Q$1, Q$1,"rg:None")</f>
        <v>ref</v>
      </c>
      <c r="R56" s="4" t="str">
        <f>IF(Table2[[#This Row],[!Type]]=R$1, R$1,"rg:None")</f>
        <v>rg:None</v>
      </c>
      <c r="S56" s="4" t="str">
        <f>IF(Table2[[#This Row],[!Type]]=S$1, S$1,"rg:None")</f>
        <v>rg:None</v>
      </c>
      <c r="T56" s="13" t="str">
        <f>IF(LEN(Table2[[#This Row],[!Length]]) &gt; 0, Table2[[#This Row],[!Length]], "rg:None")</f>
        <v>rg:None</v>
      </c>
      <c r="U56" s="13" t="str">
        <f>IF(LEN(Table2[[#This Row],[!Name]]) &gt; 0, Table2[[#This Row],[!Name]], "rg:None")</f>
        <v>fuelSupplierFK</v>
      </c>
      <c r="V56" s="13" t="str">
        <f>IF(LEN(Table2[[#This Row],[!Description]]) &gt; 0, Table2[[#This Row],[!Description]], "rg:None")</f>
        <v>A foreign key reference to a Fuel Supplier for which the Common Client data is related.</v>
      </c>
      <c r="W56" s="13" t="str">
        <f>IF(LEN(Table2[[#This Row],[!FK]])&gt;0,Table2[[#This Row],[!FK]],"rg:None")</f>
        <v>FuelSupplier</v>
      </c>
      <c r="X56" s="13" t="str">
        <f>IF(LEN(concatif2(A:A,Table2[[#This Row],[!Table]],G:G,"Y",D:D,",")) &gt; 0,"rg:[ { 'req' : '"&amp;concatif2(A:A,Table2[[#This Row],[!Table]],G:G,"Y",D:D,"' }, { 'req': '")&amp;"'} ]","rg:[]")</f>
        <v>rg:[ { 'req' : 'id' }, { 'req': 'fuelSupplierFK' }, { 'req': 'commonClientOrgId' }, { 'req': 'lastUpdatefromCommonClient' }, { 'req': 'name'} ]</v>
      </c>
      <c r="Y56" s="13" t="str">
        <f>IF(LEN(Table2[[#This Row],[!Unique]])&gt;0,IF(Table2[[#This Row],[!Type]] = "id", "rg:None","rg:True"),"rg:None")</f>
        <v>rg:None</v>
      </c>
    </row>
    <row r="57" spans="1:25" s="4" customFormat="1" ht="43.2" customHeight="1" x14ac:dyDescent="0.3">
      <c r="A57" s="81" t="s">
        <v>177</v>
      </c>
      <c r="B57" s="50" t="s">
        <v>7</v>
      </c>
      <c r="C57" s="5">
        <v>100</v>
      </c>
      <c r="D57" s="50" t="s">
        <v>162</v>
      </c>
      <c r="E57" s="69" t="s">
        <v>275</v>
      </c>
      <c r="F57" s="6"/>
      <c r="G57" s="51" t="s">
        <v>38</v>
      </c>
      <c r="H57" s="51" t="s">
        <v>38</v>
      </c>
      <c r="I57" s="4" t="str">
        <f>IF(LEN(A57) &gt; 0,"Defs","-")</f>
        <v>Defs</v>
      </c>
      <c r="J57" s="13" t="str">
        <f>IF(Table2[[#This Row],[!Type]]=J$1, J$1,"rg:None")</f>
        <v>rg:None</v>
      </c>
      <c r="K57" s="13" t="str">
        <f>IF(Table2[[#This Row],[!Type]]=K$1, K$1,"rg:None")</f>
        <v>rg:None</v>
      </c>
      <c r="L57" s="13" t="str">
        <f>IF(Table2[[#This Row],[!Type]]=L$1, L$1,"rg:None")</f>
        <v>rg:None</v>
      </c>
      <c r="M57" s="13" t="str">
        <f>IF(Table2[[#This Row],[!Type]]=M$1, M$1,"rg:None")</f>
        <v>rg:None</v>
      </c>
      <c r="N57" s="13" t="str">
        <f>IF(Table2[[#This Row],[!Type]]=N$1, N$1,"rg:None")</f>
        <v>rg:None</v>
      </c>
      <c r="O57" s="13" t="str">
        <f>IF(Table2[[#This Row],[!Type]]=O$1, O$1,"rg:None")</f>
        <v>rg:None</v>
      </c>
      <c r="P57" s="4" t="str">
        <f>IF(Table2[[#This Row],[!Type]]=P$1, P$1,"rg:None")</f>
        <v>rg:None</v>
      </c>
      <c r="Q57" s="4" t="str">
        <f>IF(Table2[[#This Row],[!Type]]=Q$1, Q$1,"rg:None")</f>
        <v>rg:None</v>
      </c>
      <c r="R57" s="4" t="str">
        <f>IF(Table2[[#This Row],[!Type]]=R$1, R$1,"rg:None")</f>
        <v>string</v>
      </c>
      <c r="S57" s="4" t="str">
        <f>IF(Table2[[#This Row],[!Type]]=S$1, S$1,"rg:None")</f>
        <v>rg:None</v>
      </c>
      <c r="T57" s="13">
        <f>IF(LEN(Table2[[#This Row],[!Length]]) &gt; 0, Table2[[#This Row],[!Length]], "rg:None")</f>
        <v>100</v>
      </c>
      <c r="U57" s="13" t="str">
        <f>IF(LEN(Table2[[#This Row],[!Name]]) &gt; 0, Table2[[#This Row],[!Name]], "rg:None")</f>
        <v>commonClientOrgId</v>
      </c>
      <c r="V57" s="13" t="str">
        <f>IF(LEN(Table2[[#This Row],[!Description]]) &gt; 0, Table2[[#This Row],[!Description]], "rg:None")</f>
        <v>The Foreign Key Id of the Fuel Supplier in Common Client. Used for Web Services calls to the NRS Common Client API.</v>
      </c>
      <c r="W57" s="13" t="str">
        <f>IF(LEN(Table2[[#This Row],[!FK]])&gt;0,Table2[[#This Row],[!FK]],"rg:None")</f>
        <v>rg:None</v>
      </c>
      <c r="X57" s="13" t="str">
        <f>IF(LEN(concatif2(A:A,Table2[[#This Row],[!Table]],G:G,"Y",D:D,",")) &gt; 0,"rg:[ { 'req' : '"&amp;concatif2(A:A,Table2[[#This Row],[!Table]],G:G,"Y",D:D,"' }, { 'req': '")&amp;"'} ]","rg:[]")</f>
        <v>rg:[ { 'req' : 'id' }, { 'req': 'fuelSupplierFK' }, { 'req': 'commonClientOrgId' }, { 'req': 'lastUpdatefromCommonClient' }, { 'req': 'name'} ]</v>
      </c>
      <c r="Y57" s="13" t="str">
        <f>IF(LEN(Table2[[#This Row],[!Unique]])&gt;0,IF(Table2[[#This Row],[!Type]] = "id", "rg:None","rg:True"),"rg:None")</f>
        <v>rg:True</v>
      </c>
    </row>
    <row r="58" spans="1:25" s="4" customFormat="1" ht="28.8" customHeight="1" x14ac:dyDescent="0.3">
      <c r="A58" s="61" t="s">
        <v>177</v>
      </c>
      <c r="B58" s="61" t="s">
        <v>11</v>
      </c>
      <c r="C58" s="5"/>
      <c r="D58" s="50" t="s">
        <v>163</v>
      </c>
      <c r="E58" s="68" t="s">
        <v>168</v>
      </c>
      <c r="F58" s="6"/>
      <c r="G58" s="63" t="s">
        <v>38</v>
      </c>
      <c r="H58" s="14"/>
      <c r="I58" s="4" t="str">
        <f>IF(LEN(A58) &gt; 0,"Defs","-")</f>
        <v>Defs</v>
      </c>
      <c r="J58" s="13" t="str">
        <f>IF(Table2[[#This Row],[!Type]]=J$1, J$1,"rg:None")</f>
        <v>rg:None</v>
      </c>
      <c r="K58" s="13" t="str">
        <f>IF(Table2[[#This Row],[!Type]]=K$1, K$1,"rg:None")</f>
        <v>rg:None</v>
      </c>
      <c r="L58" s="13" t="str">
        <f>IF(Table2[[#This Row],[!Type]]=L$1, L$1,"rg:None")</f>
        <v>datetime</v>
      </c>
      <c r="M58" s="13" t="str">
        <f>IF(Table2[[#This Row],[!Type]]=M$1, M$1,"rg:None")</f>
        <v>rg:None</v>
      </c>
      <c r="N58" s="13" t="str">
        <f>IF(Table2[[#This Row],[!Type]]=N$1, N$1,"rg:None")</f>
        <v>rg:None</v>
      </c>
      <c r="O58" s="13"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13" t="str">
        <f>IF(LEN(Table2[[#This Row],[!Length]]) &gt; 0, Table2[[#This Row],[!Length]], "rg:None")</f>
        <v>rg:None</v>
      </c>
      <c r="U58" s="13" t="str">
        <f>IF(LEN(Table2[[#This Row],[!Name]]) &gt; 0, Table2[[#This Row],[!Name]], "rg:None")</f>
        <v>lastUpdatefromCommonClient</v>
      </c>
      <c r="V58" s="13" t="str">
        <f>IF(LEN(Table2[[#This Row],[!Description]]) &gt; 0, Table2[[#This Row],[!Description]], "rg:None")</f>
        <v>The date/time of the last update of the Common Client information about the Fuel Supplier.</v>
      </c>
      <c r="W58" s="13" t="str">
        <f>IF(LEN(Table2[[#This Row],[!FK]])&gt;0,Table2[[#This Row],[!FK]],"rg:None")</f>
        <v>rg:None</v>
      </c>
      <c r="X58" s="13" t="str">
        <f>IF(LEN(concatif2(A:A,Table2[[#This Row],[!Table]],G:G,"Y",D:D,",")) &gt; 0,"rg:[ { 'req' : '"&amp;concatif2(A:A,Table2[[#This Row],[!Table]],G:G,"Y",D:D,"' }, { 'req': '")&amp;"'} ]","rg:[]")</f>
        <v>rg:[ { 'req' : 'id' }, { 'req': 'fuelSupplierFK' }, { 'req': 'commonClientOrgId' }, { 'req': 'lastUpdatefromCommonClient' }, { 'req': 'name'} ]</v>
      </c>
      <c r="Y58" s="13" t="str">
        <f>IF(LEN(Table2[[#This Row],[!Unique]])&gt;0,IF(Table2[[#This Row],[!Type]] = "id", "rg:None","rg:True"),"rg:None")</f>
        <v>rg:None</v>
      </c>
    </row>
    <row r="59" spans="1:25" s="4" customFormat="1" ht="28.8" customHeight="1" x14ac:dyDescent="0.3">
      <c r="A59" s="61" t="s">
        <v>177</v>
      </c>
      <c r="B59" s="61" t="s">
        <v>7</v>
      </c>
      <c r="C59" s="5">
        <v>500</v>
      </c>
      <c r="D59" s="61" t="s">
        <v>14</v>
      </c>
      <c r="E59" s="69" t="s">
        <v>276</v>
      </c>
      <c r="F59" s="6"/>
      <c r="G59" s="63" t="s">
        <v>38</v>
      </c>
      <c r="H59" s="14"/>
      <c r="I59" s="4" t="str">
        <f t="shared" si="9"/>
        <v>Defs</v>
      </c>
      <c r="J59" s="13" t="str">
        <f>IF(Table2[[#This Row],[!Type]]=J$1, J$1,"rg:None")</f>
        <v>rg:None</v>
      </c>
      <c r="K59" s="13" t="str">
        <f>IF(Table2[[#This Row],[!Type]]=K$1, K$1,"rg:None")</f>
        <v>rg:None</v>
      </c>
      <c r="L59" s="13" t="str">
        <f>IF(Table2[[#This Row],[!Type]]=L$1, L$1,"rg:None")</f>
        <v>rg:None</v>
      </c>
      <c r="M59" s="13" t="str">
        <f>IF(Table2[[#This Row],[!Type]]=M$1, M$1,"rg:None")</f>
        <v>rg:None</v>
      </c>
      <c r="N59" s="13" t="str">
        <f>IF(Table2[[#This Row],[!Type]]=N$1, N$1,"rg:None")</f>
        <v>rg:None</v>
      </c>
      <c r="O59" s="13" t="str">
        <f>IF(Table2[[#This Row],[!Type]]=O$1, O$1,"rg:None")</f>
        <v>rg:None</v>
      </c>
      <c r="P59" s="4" t="str">
        <f>IF(Table2[[#This Row],[!Type]]=P$1, P$1,"rg:None")</f>
        <v>rg:None</v>
      </c>
      <c r="Q59" s="4" t="str">
        <f>IF(Table2[[#This Row],[!Type]]=Q$1, Q$1,"rg:None")</f>
        <v>rg:None</v>
      </c>
      <c r="R59" s="4" t="str">
        <f>IF(Table2[[#This Row],[!Type]]=R$1, R$1,"rg:None")</f>
        <v>string</v>
      </c>
      <c r="S59" s="4" t="str">
        <f>IF(Table2[[#This Row],[!Type]]=S$1, S$1,"rg:None")</f>
        <v>rg:None</v>
      </c>
      <c r="T59" s="13">
        <f>IF(LEN(Table2[[#This Row],[!Length]]) &gt; 0, Table2[[#This Row],[!Length]], "rg:None")</f>
        <v>500</v>
      </c>
      <c r="U59" s="13" t="str">
        <f>IF(LEN(Table2[[#This Row],[!Name]]) &gt; 0, Table2[[#This Row],[!Name]], "rg:None")</f>
        <v>name</v>
      </c>
      <c r="V59" s="13" t="str">
        <f>IF(LEN(Table2[[#This Row],[!Description]]) &gt; 0, Table2[[#This Row],[!Description]], "rg:None")</f>
        <v>The Name of the Fuel Supplier - from Common Client.</v>
      </c>
      <c r="W59" s="13" t="str">
        <f>IF(LEN(Table2[[#This Row],[!FK]])&gt;0,Table2[[#This Row],[!FK]],"rg:None")</f>
        <v>rg:None</v>
      </c>
      <c r="X59" s="13" t="str">
        <f>IF(LEN(concatif2(A:A,Table2[[#This Row],[!Table]],G:G,"Y",D:D,",")) &gt; 0,"rg:[ { 'req' : '"&amp;concatif2(A:A,Table2[[#This Row],[!Table]],G:G,"Y",D:D,"' }, { 'req': '")&amp;"'} ]","rg:[]")</f>
        <v>rg:[ { 'req' : 'id' }, { 'req': 'fuelSupplierFK' }, { 'req': 'commonClientOrgId' }, { 'req': 'lastUpdatefromCommonClient' }, { 'req': 'name'} ]</v>
      </c>
      <c r="Y59" s="13" t="str">
        <f>IF(LEN(Table2[[#This Row],[!Unique]])&gt;0,IF(Table2[[#This Row],[!Type]] = "id", "rg:None","rg:True"),"rg:None")</f>
        <v>rg:None</v>
      </c>
    </row>
    <row r="60" spans="1:25" s="4" customFormat="1" ht="28.8" customHeight="1" x14ac:dyDescent="0.3">
      <c r="A60" s="61" t="s">
        <v>177</v>
      </c>
      <c r="B60" s="61" t="s">
        <v>7</v>
      </c>
      <c r="C60" s="5">
        <v>150</v>
      </c>
      <c r="D60" s="61" t="s">
        <v>180</v>
      </c>
      <c r="E60" s="69" t="s">
        <v>277</v>
      </c>
      <c r="F60" s="6"/>
      <c r="G60" s="14"/>
      <c r="H60" s="14"/>
      <c r="I60" s="4" t="str">
        <f t="shared" si="9"/>
        <v>Defs</v>
      </c>
      <c r="J60" s="13" t="str">
        <f>IF(Table2[[#This Row],[!Type]]=J$1, J$1,"rg:None")</f>
        <v>rg:None</v>
      </c>
      <c r="K60" s="13" t="str">
        <f>IF(Table2[[#This Row],[!Type]]=K$1, K$1,"rg:None")</f>
        <v>rg:None</v>
      </c>
      <c r="L60" s="13" t="str">
        <f>IF(Table2[[#This Row],[!Type]]=L$1, L$1,"rg:None")</f>
        <v>rg:None</v>
      </c>
      <c r="M60" s="13" t="str">
        <f>IF(Table2[[#This Row],[!Type]]=M$1, M$1,"rg:None")</f>
        <v>rg:None</v>
      </c>
      <c r="N60" s="13" t="str">
        <f>IF(Table2[[#This Row],[!Type]]=N$1, N$1,"rg:None")</f>
        <v>rg:None</v>
      </c>
      <c r="O60" s="13" t="str">
        <f>IF(Table2[[#This Row],[!Type]]=O$1, O$1,"rg:None")</f>
        <v>rg:None</v>
      </c>
      <c r="P60" s="4" t="str">
        <f>IF(Table2[[#This Row],[!Type]]=P$1, P$1,"rg:None")</f>
        <v>rg:None</v>
      </c>
      <c r="Q60" s="4" t="str">
        <f>IF(Table2[[#This Row],[!Type]]=Q$1, Q$1,"rg:None")</f>
        <v>rg:None</v>
      </c>
      <c r="R60" s="4" t="str">
        <f>IF(Table2[[#This Row],[!Type]]=R$1, R$1,"rg:None")</f>
        <v>string</v>
      </c>
      <c r="S60" s="4" t="str">
        <f>IF(Table2[[#This Row],[!Type]]=S$1, S$1,"rg:None")</f>
        <v>rg:None</v>
      </c>
      <c r="T60" s="13">
        <f>IF(LEN(Table2[[#This Row],[!Length]]) &gt; 0, Table2[[#This Row],[!Length]], "rg:None")</f>
        <v>150</v>
      </c>
      <c r="U60" s="13" t="str">
        <f>IF(LEN(Table2[[#This Row],[!Name]]) &gt; 0, Table2[[#This Row],[!Name]], "rg:None")</f>
        <v>corporateAddressLine1</v>
      </c>
      <c r="V60" s="13" t="str">
        <f>IF(LEN(Table2[[#This Row],[!Description]]) &gt; 0, Table2[[#This Row],[!Description]], "rg:None")</f>
        <v>Address Line 1  of the Fuel Supplier's primary Corporate Address - from Common Client.</v>
      </c>
      <c r="W60" s="13" t="str">
        <f>IF(LEN(Table2[[#This Row],[!FK]])&gt;0,Table2[[#This Row],[!FK]],"rg:None")</f>
        <v>rg:None</v>
      </c>
      <c r="X60" s="13" t="str">
        <f>IF(LEN(concatif2(A:A,Table2[[#This Row],[!Table]],G:G,"Y",D:D,",")) &gt; 0,"rg:[ { 'req' : '"&amp;concatif2(A:A,Table2[[#This Row],[!Table]],G:G,"Y",D:D,"' }, { 'req': '")&amp;"'} ]","rg:[]")</f>
        <v>rg:[ { 'req' : 'id' }, { 'req': 'fuelSupplierFK' }, { 'req': 'commonClientOrgId' }, { 'req': 'lastUpdatefromCommonClient' }, { 'req': 'name'} ]</v>
      </c>
      <c r="Y60" s="13" t="str">
        <f>IF(LEN(Table2[[#This Row],[!Unique]])&gt;0,IF(Table2[[#This Row],[!Type]] = "id", "rg:None","rg:True"),"rg:None")</f>
        <v>rg:None</v>
      </c>
    </row>
    <row r="61" spans="1:25" s="4" customFormat="1" ht="28.8" customHeight="1" x14ac:dyDescent="0.3">
      <c r="A61" s="61" t="s">
        <v>177</v>
      </c>
      <c r="B61" s="61" t="s">
        <v>7</v>
      </c>
      <c r="C61" s="5">
        <v>150</v>
      </c>
      <c r="D61" s="61" t="s">
        <v>179</v>
      </c>
      <c r="E61" s="69" t="s">
        <v>278</v>
      </c>
      <c r="F61" s="6"/>
      <c r="G61" s="14"/>
      <c r="H61" s="14"/>
      <c r="I61" s="4" t="str">
        <f t="shared" si="9"/>
        <v>Defs</v>
      </c>
      <c r="J61" s="13" t="str">
        <f>IF(Table2[[#This Row],[!Type]]=J$1, J$1,"rg:None")</f>
        <v>rg:None</v>
      </c>
      <c r="K61" s="13" t="str">
        <f>IF(Table2[[#This Row],[!Type]]=K$1, K$1,"rg:None")</f>
        <v>rg:None</v>
      </c>
      <c r="L61" s="13" t="str">
        <f>IF(Table2[[#This Row],[!Type]]=L$1, L$1,"rg:None")</f>
        <v>rg:None</v>
      </c>
      <c r="M61" s="13" t="str">
        <f>IF(Table2[[#This Row],[!Type]]=M$1, M$1,"rg:None")</f>
        <v>rg:None</v>
      </c>
      <c r="N61" s="13" t="str">
        <f>IF(Table2[[#This Row],[!Type]]=N$1, N$1,"rg:None")</f>
        <v>rg:None</v>
      </c>
      <c r="O61" s="13" t="str">
        <f>IF(Table2[[#This Row],[!Type]]=O$1, O$1,"rg:None")</f>
        <v>rg:None</v>
      </c>
      <c r="P61" s="4" t="str">
        <f>IF(Table2[[#This Row],[!Type]]=P$1, P$1,"rg:None")</f>
        <v>rg:None</v>
      </c>
      <c r="Q61" s="4" t="str">
        <f>IF(Table2[[#This Row],[!Type]]=Q$1, Q$1,"rg:None")</f>
        <v>rg:None</v>
      </c>
      <c r="R61" s="4" t="str">
        <f>IF(Table2[[#This Row],[!Type]]=R$1, R$1,"rg:None")</f>
        <v>string</v>
      </c>
      <c r="S61" s="4" t="str">
        <f>IF(Table2[[#This Row],[!Type]]=S$1, S$1,"rg:None")</f>
        <v>rg:None</v>
      </c>
      <c r="T61" s="13">
        <f>IF(LEN(Table2[[#This Row],[!Length]]) &gt; 0, Table2[[#This Row],[!Length]], "rg:None")</f>
        <v>150</v>
      </c>
      <c r="U61" s="13" t="str">
        <f>IF(LEN(Table2[[#This Row],[!Name]]) &gt; 0, Table2[[#This Row],[!Name]], "rg:None")</f>
        <v>corporateAddressLine2</v>
      </c>
      <c r="V61" s="13" t="str">
        <f>IF(LEN(Table2[[#This Row],[!Description]]) &gt; 0, Table2[[#This Row],[!Description]], "rg:None")</f>
        <v>Address Line 2  of the Fuel Supplier's primary Corporate Address - from Common Client.</v>
      </c>
      <c r="W61" s="13" t="str">
        <f>IF(LEN(Table2[[#This Row],[!FK]])&gt;0,Table2[[#This Row],[!FK]],"rg:None")</f>
        <v>rg:None</v>
      </c>
      <c r="X61" s="13" t="str">
        <f>IF(LEN(concatif2(A:A,Table2[[#This Row],[!Table]],G:G,"Y",D:D,",")) &gt; 0,"rg:[ { 'req' : '"&amp;concatif2(A:A,Table2[[#This Row],[!Table]],G:G,"Y",D:D,"' }, { 'req': '")&amp;"'} ]","rg:[]")</f>
        <v>rg:[ { 'req' : 'id' }, { 'req': 'fuelSupplierFK' }, { 'req': 'commonClientOrgId' }, { 'req': 'lastUpdatefromCommonClient' }, { 'req': 'name'} ]</v>
      </c>
      <c r="Y61" s="13" t="str">
        <f>IF(LEN(Table2[[#This Row],[!Unique]])&gt;0,IF(Table2[[#This Row],[!Type]] = "id", "rg:None","rg:True"),"rg:None")</f>
        <v>rg:None</v>
      </c>
    </row>
    <row r="62" spans="1:25" s="4" customFormat="1" ht="28.8" customHeight="1" x14ac:dyDescent="0.3">
      <c r="A62" s="61" t="s">
        <v>177</v>
      </c>
      <c r="B62" s="61" t="s">
        <v>7</v>
      </c>
      <c r="C62" s="5">
        <v>100</v>
      </c>
      <c r="D62" s="61" t="s">
        <v>178</v>
      </c>
      <c r="E62" s="69" t="s">
        <v>279</v>
      </c>
      <c r="F62" s="6"/>
      <c r="G62" s="14"/>
      <c r="H62" s="14"/>
      <c r="I62" s="4" t="str">
        <f t="shared" si="9"/>
        <v>Defs</v>
      </c>
      <c r="J62" s="13" t="str">
        <f>IF(Table2[[#This Row],[!Type]]=J$1, J$1,"rg:None")</f>
        <v>rg:None</v>
      </c>
      <c r="K62" s="13" t="str">
        <f>IF(Table2[[#This Row],[!Type]]=K$1, K$1,"rg:None")</f>
        <v>rg:None</v>
      </c>
      <c r="L62" s="13" t="str">
        <f>IF(Table2[[#This Row],[!Type]]=L$1, L$1,"rg:None")</f>
        <v>rg:None</v>
      </c>
      <c r="M62" s="13" t="str">
        <f>IF(Table2[[#This Row],[!Type]]=M$1, M$1,"rg:None")</f>
        <v>rg:None</v>
      </c>
      <c r="N62" s="13" t="str">
        <f>IF(Table2[[#This Row],[!Type]]=N$1, N$1,"rg:None")</f>
        <v>rg:None</v>
      </c>
      <c r="O62" s="13"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13">
        <f>IF(LEN(Table2[[#This Row],[!Length]]) &gt; 0, Table2[[#This Row],[!Length]], "rg:None")</f>
        <v>100</v>
      </c>
      <c r="U62" s="13" t="str">
        <f>IF(LEN(Table2[[#This Row],[!Name]]) &gt; 0, Table2[[#This Row],[!Name]], "rg:None")</f>
        <v>corporateAddressCity</v>
      </c>
      <c r="V62" s="13" t="str">
        <f>IF(LEN(Table2[[#This Row],[!Description]]) &gt; 0, Table2[[#This Row],[!Description]], "rg:None")</f>
        <v>City of the Fuel Supplier's primary Corporate Address - from Common Client.</v>
      </c>
      <c r="W62" s="13" t="str">
        <f>IF(LEN(Table2[[#This Row],[!FK]])&gt;0,Table2[[#This Row],[!FK]],"rg:None")</f>
        <v>rg:None</v>
      </c>
      <c r="X62" s="13" t="str">
        <f>IF(LEN(concatif2(A:A,Table2[[#This Row],[!Table]],G:G,"Y",D:D,",")) &gt; 0,"rg:[ { 'req' : '"&amp;concatif2(A:A,Table2[[#This Row],[!Table]],G:G,"Y",D:D,"' }, { 'req': '")&amp;"'} ]","rg:[]")</f>
        <v>rg:[ { 'req' : 'id' }, { 'req': 'fuelSupplierFK' }, { 'req': 'commonClientOrgId' }, { 'req': 'lastUpdatefromCommonClient' }, { 'req': 'name'} ]</v>
      </c>
      <c r="Y62" s="13" t="str">
        <f>IF(LEN(Table2[[#This Row],[!Unique]])&gt;0,IF(Table2[[#This Row],[!Type]] = "id", "rg:None","rg:True"),"rg:None")</f>
        <v>rg:None</v>
      </c>
    </row>
    <row r="63" spans="1:25" s="4" customFormat="1" ht="28.8" customHeight="1" x14ac:dyDescent="0.3">
      <c r="A63" s="61" t="s">
        <v>177</v>
      </c>
      <c r="B63" s="61" t="s">
        <v>7</v>
      </c>
      <c r="C63" s="5">
        <v>25</v>
      </c>
      <c r="D63" s="61" t="s">
        <v>181</v>
      </c>
      <c r="E63" s="69" t="s">
        <v>280</v>
      </c>
      <c r="F63" s="6"/>
      <c r="G63" s="14"/>
      <c r="H63" s="14"/>
      <c r="I63" s="4" t="str">
        <f>IF(LEN(A63) &gt; 0,"Defs","-")</f>
        <v>Defs</v>
      </c>
      <c r="J63" s="13" t="str">
        <f>IF(Table2[[#This Row],[!Type]]=J$1, J$1,"rg:None")</f>
        <v>rg:None</v>
      </c>
      <c r="K63" s="13" t="str">
        <f>IF(Table2[[#This Row],[!Type]]=K$1, K$1,"rg:None")</f>
        <v>rg:None</v>
      </c>
      <c r="L63" s="13" t="str">
        <f>IF(Table2[[#This Row],[!Type]]=L$1, L$1,"rg:None")</f>
        <v>rg:None</v>
      </c>
      <c r="M63" s="13" t="str">
        <f>IF(Table2[[#This Row],[!Type]]=M$1, M$1,"rg:None")</f>
        <v>rg:None</v>
      </c>
      <c r="N63" s="13" t="str">
        <f>IF(Table2[[#This Row],[!Type]]=N$1, N$1,"rg:None")</f>
        <v>rg:None</v>
      </c>
      <c r="O63" s="13"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13">
        <f>IF(LEN(Table2[[#This Row],[!Length]]) &gt; 0, Table2[[#This Row],[!Length]], "rg:None")</f>
        <v>25</v>
      </c>
      <c r="U63" s="13" t="str">
        <f>IF(LEN(Table2[[#This Row],[!Name]]) &gt; 0, Table2[[#This Row],[!Name]], "rg:None")</f>
        <v>corporateAddressPostalCode</v>
      </c>
      <c r="V63" s="13" t="str">
        <f>IF(LEN(Table2[[#This Row],[!Description]]) &gt; 0, Table2[[#This Row],[!Description]], "rg:None")</f>
        <v>Postal Code  of the Fuel Supplier's primary Corporate Address - from Common Client.</v>
      </c>
      <c r="W63" s="13" t="str">
        <f>IF(LEN(Table2[[#This Row],[!FK]])&gt;0,Table2[[#This Row],[!FK]],"rg:None")</f>
        <v>rg:None</v>
      </c>
      <c r="X63" s="13" t="str">
        <f>IF(LEN(concatif2(A:A,Table2[[#This Row],[!Table]],G:G,"Y",D:D,",")) &gt; 0,"rg:[ { 'req' : '"&amp;concatif2(A:A,Table2[[#This Row],[!Table]],G:G,"Y",D:D,"' }, { 'req': '")&amp;"'} ]","rg:[]")</f>
        <v>rg:[ { 'req' : 'id' }, { 'req': 'fuelSupplierFK' }, { 'req': 'commonClientOrgId' }, { 'req': 'lastUpdatefromCommonClient' }, { 'req': 'name'} ]</v>
      </c>
      <c r="Y63" s="13" t="str">
        <f>IF(LEN(Table2[[#This Row],[!Unique]])&gt;0,IF(Table2[[#This Row],[!Type]] = "id", "rg:None","rg:True"),"rg:None")</f>
        <v>rg:None</v>
      </c>
    </row>
    <row r="64" spans="1:25" s="4" customFormat="1" ht="28.8" customHeight="1" x14ac:dyDescent="0.3">
      <c r="A64" s="61" t="s">
        <v>177</v>
      </c>
      <c r="B64" s="61" t="s">
        <v>7</v>
      </c>
      <c r="C64" s="5">
        <v>50</v>
      </c>
      <c r="D64" s="61" t="s">
        <v>182</v>
      </c>
      <c r="E64" s="69" t="s">
        <v>281</v>
      </c>
      <c r="F64" s="6"/>
      <c r="G64" s="14"/>
      <c r="H64" s="14"/>
      <c r="I64" s="4" t="str">
        <f t="shared" si="9"/>
        <v>Defs</v>
      </c>
      <c r="J64" s="13" t="str">
        <f>IF(Table2[[#This Row],[!Type]]=J$1, J$1,"rg:None")</f>
        <v>rg:None</v>
      </c>
      <c r="K64" s="13" t="str">
        <f>IF(Table2[[#This Row],[!Type]]=K$1, K$1,"rg:None")</f>
        <v>rg:None</v>
      </c>
      <c r="L64" s="13" t="str">
        <f>IF(Table2[[#This Row],[!Type]]=L$1, L$1,"rg:None")</f>
        <v>rg:None</v>
      </c>
      <c r="M64" s="13" t="str">
        <f>IF(Table2[[#This Row],[!Type]]=M$1, M$1,"rg:None")</f>
        <v>rg:None</v>
      </c>
      <c r="N64" s="13" t="str">
        <f>IF(Table2[[#This Row],[!Type]]=N$1, N$1,"rg:None")</f>
        <v>rg:None</v>
      </c>
      <c r="O64" s="13"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13">
        <f>IF(LEN(Table2[[#This Row],[!Length]]) &gt; 0, Table2[[#This Row],[!Length]], "rg:None")</f>
        <v>50</v>
      </c>
      <c r="U64" s="13" t="str">
        <f>IF(LEN(Table2[[#This Row],[!Name]]) &gt; 0, Table2[[#This Row],[!Name]], "rg:None")</f>
        <v>corporateAddressProvince</v>
      </c>
      <c r="V64" s="13" t="str">
        <f>IF(LEN(Table2[[#This Row],[!Description]]) &gt; 0, Table2[[#This Row],[!Description]], "rg:None")</f>
        <v>Province of the Fuel Supplier's primary Corporate Address - from Common Client.</v>
      </c>
      <c r="W64" s="13" t="str">
        <f>IF(LEN(Table2[[#This Row],[!FK]])&gt;0,Table2[[#This Row],[!FK]],"rg:None")</f>
        <v>rg:None</v>
      </c>
      <c r="X64" s="13" t="str">
        <f>IF(LEN(concatif2(A:A,Table2[[#This Row],[!Table]],G:G,"Y",D:D,",")) &gt; 0,"rg:[ { 'req' : '"&amp;concatif2(A:A,Table2[[#This Row],[!Table]],G:G,"Y",D:D,"' }, { 'req': '")&amp;"'} ]","rg:[]")</f>
        <v>rg:[ { 'req' : 'id' }, { 'req': 'fuelSupplierFK' }, { 'req': 'commonClientOrgId' }, { 'req': 'lastUpdatefromCommonClient' }, { 'req': 'name'} ]</v>
      </c>
      <c r="Y64" s="13" t="str">
        <f>IF(LEN(Table2[[#This Row],[!Unique]])&gt;0,IF(Table2[[#This Row],[!Type]] = "id", "rg:None","rg:True"),"rg:None")</f>
        <v>rg:None</v>
      </c>
    </row>
    <row r="65" spans="1:25" s="4" customFormat="1" ht="43.2" customHeight="1" x14ac:dyDescent="0.3">
      <c r="A65" s="50" t="s">
        <v>157</v>
      </c>
      <c r="B65" s="50" t="s">
        <v>4</v>
      </c>
      <c r="C65" s="5"/>
      <c r="D65" s="50" t="s">
        <v>157</v>
      </c>
      <c r="E65" s="69" t="s">
        <v>282</v>
      </c>
      <c r="F65" s="46"/>
      <c r="G65" s="14"/>
      <c r="H65" s="14"/>
      <c r="I65" s="4" t="str">
        <f>IF(LEN(A65) &gt; 0,"Defs","-")</f>
        <v>Defs</v>
      </c>
      <c r="J65" s="13" t="str">
        <f>IF(Table2[[#This Row],[!Type]]=J$1, J$1,"rg:None")</f>
        <v>rg:None</v>
      </c>
      <c r="K65" s="13" t="str">
        <f>IF(Table2[[#This Row],[!Type]]=K$1, K$1,"rg:None")</f>
        <v>rg:None</v>
      </c>
      <c r="L65" s="13" t="str">
        <f>IF(Table2[[#This Row],[!Type]]=L$1, L$1,"rg:None")</f>
        <v>rg:None</v>
      </c>
      <c r="M65" s="13" t="str">
        <f>IF(Table2[[#This Row],[!Type]]=M$1, M$1,"rg:None")</f>
        <v>rg:None</v>
      </c>
      <c r="N65" s="13" t="str">
        <f>IF(Table2[[#This Row],[!Type]]=N$1, N$1,"rg:None")</f>
        <v>rg:None</v>
      </c>
      <c r="O65" s="13"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13" t="str">
        <f>IF(LEN(Table2[[#This Row],[!Length]]) &gt; 0, Table2[[#This Row],[!Length]], "rg:None")</f>
        <v>rg:None</v>
      </c>
      <c r="U65" s="13" t="str">
        <f>IF(LEN(Table2[[#This Row],[!Name]]) &gt; 0, Table2[[#This Row],[!Name]], "rg:None")</f>
        <v>FuelSupplierBalance</v>
      </c>
      <c r="V65" s="13" t="str">
        <f>IF(LEN(Table2[[#This Row],[!Description]]) &gt; 0, Table2[[#This Row],[!Description]], "rg:None")</f>
        <v>The ledger tracking the balance of Credits owned by a Fuel Supplier and updated on the completion of Credit Trade.</v>
      </c>
      <c r="W65" s="13" t="str">
        <f>IF(LEN(Table2[[#This Row],[!FK]])&gt;0,Table2[[#This Row],[!FK]],"rg:None")</f>
        <v>rg:None</v>
      </c>
      <c r="X65" s="13" t="str">
        <f>IF(LEN(concatif2(A:A,Table2[[#This Row],[!Table]],G:G,"Y",D:D,",")) &gt; 0,"rg:[ { 'req' : '"&amp;concatif2(A:A,Table2[[#This Row],[!Table]],G:G,"Y",D:D,"' }, { 'req': '")&amp;"'} ]","rg:[]")</f>
        <v>rg:[ { 'req' : 'id' }, { 'req': 'fuelSupplierFK' }, { 'req': 'validatedCredits' }, { 'req': 'effectiveDate'} ]</v>
      </c>
      <c r="Y65" s="13" t="str">
        <f>IF(LEN(Table2[[#This Row],[!Unique]])&gt;0,IF(Table2[[#This Row],[!Type]] = "id", "rg:None","rg:True"),"rg:None")</f>
        <v>rg:None</v>
      </c>
    </row>
    <row r="66" spans="1:25" s="4" customFormat="1" ht="28.8" x14ac:dyDescent="0.3">
      <c r="A66" s="50" t="s">
        <v>157</v>
      </c>
      <c r="B66" s="50" t="s">
        <v>6</v>
      </c>
      <c r="C66" s="5"/>
      <c r="D66" s="50" t="s">
        <v>6</v>
      </c>
      <c r="E66" s="69" t="s">
        <v>283</v>
      </c>
      <c r="F66" s="46"/>
      <c r="G66" s="51" t="s">
        <v>38</v>
      </c>
      <c r="H66" s="51" t="s">
        <v>38</v>
      </c>
      <c r="I66" s="4" t="str">
        <f>IF(LEN(A66) &gt; 0,"Defs","-")</f>
        <v>Defs</v>
      </c>
      <c r="J66" s="13" t="str">
        <f>IF(Table2[[#This Row],[!Type]]=J$1, J$1,"rg:None")</f>
        <v>rg:None</v>
      </c>
      <c r="K66" s="13" t="str">
        <f>IF(Table2[[#This Row],[!Type]]=K$1, K$1,"rg:None")</f>
        <v>rg:None</v>
      </c>
      <c r="L66" s="13" t="str">
        <f>IF(Table2[[#This Row],[!Type]]=L$1, L$1,"rg:None")</f>
        <v>rg:None</v>
      </c>
      <c r="M66" s="13" t="str">
        <f>IF(Table2[[#This Row],[!Type]]=M$1, M$1,"rg:None")</f>
        <v>id</v>
      </c>
      <c r="N66" s="13" t="str">
        <f>IF(Table2[[#This Row],[!Type]]=N$1, N$1,"rg:None")</f>
        <v>rg:None</v>
      </c>
      <c r="O66" s="13"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13" t="str">
        <f>IF(LEN(Table2[[#This Row],[!Length]]) &gt; 0, Table2[[#This Row],[!Length]], "rg:None")</f>
        <v>rg:None</v>
      </c>
      <c r="U66" s="13" t="str">
        <f>IF(LEN(Table2[[#This Row],[!Name]]) &gt; 0, Table2[[#This Row],[!Name]], "rg:None")</f>
        <v>id</v>
      </c>
      <c r="V66" s="13" t="str">
        <f>IF(LEN(Table2[[#This Row],[!Description]]) &gt; 0, Table2[[#This Row],[!Description]], "rg:None")</f>
        <v>A system-generated unique identifier for the Fuel Supplier Balance.</v>
      </c>
      <c r="W66" s="13" t="str">
        <f>IF(LEN(Table2[[#This Row],[!FK]])&gt;0,Table2[[#This Row],[!FK]],"rg:None")</f>
        <v>rg:None</v>
      </c>
      <c r="X66" s="13" t="str">
        <f>IF(LEN(concatif2(A:A,Table2[[#This Row],[!Table]],G:G,"Y",D:D,",")) &gt; 0,"rg:[ { 'req' : '"&amp;concatif2(A:A,Table2[[#This Row],[!Table]],G:G,"Y",D:D,"' }, { 'req': '")&amp;"'} ]","rg:[]")</f>
        <v>rg:[ { 'req' : 'id' }, { 'req': 'fuelSupplierFK' }, { 'req': 'validatedCredits' }, { 'req': 'effectiveDate'} ]</v>
      </c>
      <c r="Y66" s="13" t="str">
        <f>IF(LEN(Table2[[#This Row],[!Unique]])&gt;0,IF(Table2[[#This Row],[!Type]] = "id", "rg:None","rg:True"),"rg:None")</f>
        <v>rg:None</v>
      </c>
    </row>
    <row r="67" spans="1:25" s="4" customFormat="1" ht="16.05" customHeight="1" x14ac:dyDescent="0.3">
      <c r="A67" s="50" t="s">
        <v>157</v>
      </c>
      <c r="B67" s="50" t="s">
        <v>8</v>
      </c>
      <c r="C67" s="5"/>
      <c r="D67" s="82" t="s">
        <v>326</v>
      </c>
      <c r="E67" s="69" t="s">
        <v>284</v>
      </c>
      <c r="F67" s="50" t="s">
        <v>127</v>
      </c>
      <c r="G67" s="51" t="s">
        <v>38</v>
      </c>
      <c r="H67" s="14"/>
      <c r="I67" s="4" t="str">
        <f>IF(LEN(A67) &gt; 0,"Defs","-")</f>
        <v>Defs</v>
      </c>
      <c r="J67" s="13" t="str">
        <f>IF(Table2[[#This Row],[!Type]]=J$1, J$1,"rg:None")</f>
        <v>rg:None</v>
      </c>
      <c r="K67" s="13" t="str">
        <f>IF(Table2[[#This Row],[!Type]]=K$1, K$1,"rg:None")</f>
        <v>rg:None</v>
      </c>
      <c r="L67" s="13" t="str">
        <f>IF(Table2[[#This Row],[!Type]]=L$1, L$1,"rg:None")</f>
        <v>rg:None</v>
      </c>
      <c r="M67" s="13" t="str">
        <f>IF(Table2[[#This Row],[!Type]]=M$1, M$1,"rg:None")</f>
        <v>rg:None</v>
      </c>
      <c r="N67" s="13" t="str">
        <f>IF(Table2[[#This Row],[!Type]]=N$1, N$1,"rg:None")</f>
        <v>rg:None</v>
      </c>
      <c r="O67" s="13"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13" t="str">
        <f>IF(LEN(Table2[[#This Row],[!Length]]) &gt; 0, Table2[[#This Row],[!Length]], "rg:None")</f>
        <v>rg:None</v>
      </c>
      <c r="U67" s="13" t="str">
        <f>IF(LEN(Table2[[#This Row],[!Name]]) &gt; 0, Table2[[#This Row],[!Name]], "rg:None")</f>
        <v>fuelSupplierFK</v>
      </c>
      <c r="V67" s="13" t="str">
        <f>IF(LEN(Table2[[#This Row],[!Description]]) &gt; 0, Table2[[#This Row],[!Description]], "rg:None")</f>
        <v>A foreign key reference to the FuelSupplier.</v>
      </c>
      <c r="W67" s="13" t="str">
        <f>IF(LEN(Table2[[#This Row],[!FK]])&gt;0,Table2[[#This Row],[!FK]],"rg:None")</f>
        <v>FuelSupplier</v>
      </c>
      <c r="X67" s="13" t="str">
        <f>IF(LEN(concatif2(A:A,Table2[[#This Row],[!Table]],G:G,"Y",D:D,",")) &gt; 0,"rg:[ { 'req' : '"&amp;concatif2(A:A,Table2[[#This Row],[!Table]],G:G,"Y",D:D,"' }, { 'req': '")&amp;"'} ]","rg:[]")</f>
        <v>rg:[ { 'req' : 'id' }, { 'req': 'fuelSupplierFK' }, { 'req': 'validatedCredits' }, { 'req': 'effectiveDate'} ]</v>
      </c>
      <c r="Y67" s="13" t="str">
        <f>IF(LEN(Table2[[#This Row],[!Unique]])&gt;0,IF(Table2[[#This Row],[!Type]] = "id", "rg:None","rg:True"),"rg:None")</f>
        <v>rg:None</v>
      </c>
    </row>
    <row r="68" spans="1:25" s="4" customFormat="1" ht="28.8" customHeight="1" x14ac:dyDescent="0.3">
      <c r="A68" s="50" t="s">
        <v>157</v>
      </c>
      <c r="B68" s="50" t="s">
        <v>12</v>
      </c>
      <c r="C68" s="5"/>
      <c r="D68" s="50" t="s">
        <v>160</v>
      </c>
      <c r="E68" s="69" t="s">
        <v>285</v>
      </c>
      <c r="F68" s="46"/>
      <c r="G68" s="51" t="s">
        <v>38</v>
      </c>
      <c r="H68" s="14"/>
      <c r="I68" s="4" t="str">
        <f t="shared" ref="I68:I69" si="10">IF(LEN(A68) &gt; 0,"Defs","-")</f>
        <v>Defs</v>
      </c>
      <c r="J68" s="13" t="str">
        <f>IF(Table2[[#This Row],[!Type]]=J$1, J$1,"rg:None")</f>
        <v>rg:None</v>
      </c>
      <c r="K68" s="13" t="str">
        <f>IF(Table2[[#This Row],[!Type]]=K$1, K$1,"rg:None")</f>
        <v>rg:None</v>
      </c>
      <c r="L68" s="13" t="str">
        <f>IF(Table2[[#This Row],[!Type]]=L$1, L$1,"rg:None")</f>
        <v>rg:None</v>
      </c>
      <c r="M68" s="13" t="str">
        <f>IF(Table2[[#This Row],[!Type]]=M$1, M$1,"rg:None")</f>
        <v>rg:None</v>
      </c>
      <c r="N68" s="13" t="str">
        <f>IF(Table2[[#This Row],[!Type]]=N$1, N$1,"rg:None")</f>
        <v>integer</v>
      </c>
      <c r="O68" s="13"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13" t="str">
        <f>IF(LEN(Table2[[#This Row],[!Length]]) &gt; 0, Table2[[#This Row],[!Length]], "rg:None")</f>
        <v>rg:None</v>
      </c>
      <c r="U68" s="13" t="str">
        <f>IF(LEN(Table2[[#This Row],[!Name]]) &gt; 0, Table2[[#This Row],[!Name]], "rg:None")</f>
        <v>validatedCredits</v>
      </c>
      <c r="V68" s="13" t="str">
        <f>IF(LEN(Table2[[#This Row],[!Description]]) &gt; 0, Table2[[#This Row],[!Description]], "rg:None")</f>
        <v>The number of validated credits held by the Fuel Supplier at the time the record was active.</v>
      </c>
      <c r="W68" s="13" t="str">
        <f>IF(LEN(Table2[[#This Row],[!FK]])&gt;0,Table2[[#This Row],[!FK]],"rg:None")</f>
        <v>rg:None</v>
      </c>
      <c r="X68" s="13" t="str">
        <f>IF(LEN(concatif2(A:A,Table2[[#This Row],[!Table]],G:G,"Y",D:D,",")) &gt; 0,"rg:[ { 'req' : '"&amp;concatif2(A:A,Table2[[#This Row],[!Table]],G:G,"Y",D:D,"' }, { 'req': '")&amp;"'} ]","rg:[]")</f>
        <v>rg:[ { 'req' : 'id' }, { 'req': 'fuelSupplierFK' }, { 'req': 'validatedCredits' }, { 'req': 'effectiveDate'} ]</v>
      </c>
      <c r="Y68" s="13" t="str">
        <f>IF(LEN(Table2[[#This Row],[!Unique]])&gt;0,IF(Table2[[#This Row],[!Type]] = "id", "rg:None","rg:True"),"rg:None")</f>
        <v>rg:None</v>
      </c>
    </row>
    <row r="69" spans="1:25" s="4" customFormat="1" ht="43.2" customHeight="1" x14ac:dyDescent="0.3">
      <c r="A69" s="50" t="s">
        <v>157</v>
      </c>
      <c r="B69" s="50" t="s">
        <v>11</v>
      </c>
      <c r="C69" s="5"/>
      <c r="D69" s="50" t="s">
        <v>158</v>
      </c>
      <c r="E69" s="68" t="s">
        <v>210</v>
      </c>
      <c r="F69" s="46"/>
      <c r="G69" s="51" t="s">
        <v>38</v>
      </c>
      <c r="H69" s="14"/>
      <c r="I69" s="4" t="str">
        <f t="shared" si="10"/>
        <v>Defs</v>
      </c>
      <c r="J69" s="13" t="str">
        <f>IF(Table2[[#This Row],[!Type]]=J$1, J$1,"rg:None")</f>
        <v>rg:None</v>
      </c>
      <c r="K69" s="13" t="str">
        <f>IF(Table2[[#This Row],[!Type]]=K$1, K$1,"rg:None")</f>
        <v>rg:None</v>
      </c>
      <c r="L69" s="13" t="str">
        <f>IF(Table2[[#This Row],[!Type]]=L$1, L$1,"rg:None")</f>
        <v>datetime</v>
      </c>
      <c r="M69" s="13" t="str">
        <f>IF(Table2[[#This Row],[!Type]]=M$1, M$1,"rg:None")</f>
        <v>rg:None</v>
      </c>
      <c r="N69" s="13" t="str">
        <f>IF(Table2[[#This Row],[!Type]]=N$1, N$1,"rg:None")</f>
        <v>rg:None</v>
      </c>
      <c r="O69" s="13"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13" t="str">
        <f>IF(LEN(Table2[[#This Row],[!Length]]) &gt; 0, Table2[[#This Row],[!Length]], "rg:None")</f>
        <v>rg:None</v>
      </c>
      <c r="U69" s="13" t="str">
        <f>IF(LEN(Table2[[#This Row],[!Name]]) &gt; 0, Table2[[#This Row],[!Name]], "rg:None")</f>
        <v>effectiveDate</v>
      </c>
      <c r="V69" s="13" t="str">
        <f>IF(LEN(Table2[[#This Row],[!Description]]) &gt; 0, Table2[[#This Row],[!Description]], "rg:None")</f>
        <v>The effective date at which the given numbers of validated and encumbered credits were held by the Fuel Supplier.</v>
      </c>
      <c r="W69" s="13" t="str">
        <f>IF(LEN(Table2[[#This Row],[!FK]])&gt;0,Table2[[#This Row],[!FK]],"rg:None")</f>
        <v>rg:None</v>
      </c>
      <c r="X69" s="13" t="str">
        <f>IF(LEN(concatif2(A:A,Table2[[#This Row],[!Table]],G:G,"Y",D:D,",")) &gt; 0,"rg:[ { 'req' : '"&amp;concatif2(A:A,Table2[[#This Row],[!Table]],G:G,"Y",D:D,"' }, { 'req': '")&amp;"'} ]","rg:[]")</f>
        <v>rg:[ { 'req' : 'id' }, { 'req': 'fuelSupplierFK' }, { 'req': 'validatedCredits' }, { 'req': 'effectiveDate'} ]</v>
      </c>
      <c r="Y69" s="13" t="str">
        <f>IF(LEN(Table2[[#This Row],[!Unique]])&gt;0,IF(Table2[[#This Row],[!Type]] = "id", "rg:None","rg:True"),"rg:None")</f>
        <v>rg:None</v>
      </c>
    </row>
    <row r="70" spans="1:25" s="4" customFormat="1" ht="43.2" customHeight="1" x14ac:dyDescent="0.3">
      <c r="A70" s="50" t="s">
        <v>157</v>
      </c>
      <c r="B70" s="50" t="s">
        <v>11</v>
      </c>
      <c r="C70" s="5"/>
      <c r="D70" s="50" t="s">
        <v>159</v>
      </c>
      <c r="E70" s="68" t="s">
        <v>211</v>
      </c>
      <c r="F70" s="46"/>
      <c r="G70" s="14"/>
      <c r="H70" s="14"/>
      <c r="I70" s="4" t="str">
        <f>IF(LEN(A70) &gt; 0,"Defs","-")</f>
        <v>Defs</v>
      </c>
      <c r="J70" s="13" t="str">
        <f>IF(Table2[[#This Row],[!Type]]=J$1, J$1,"rg:None")</f>
        <v>rg:None</v>
      </c>
      <c r="K70" s="13" t="str">
        <f>IF(Table2[[#This Row],[!Type]]=K$1, K$1,"rg:None")</f>
        <v>rg:None</v>
      </c>
      <c r="L70" s="13" t="str">
        <f>IF(Table2[[#This Row],[!Type]]=L$1, L$1,"rg:None")</f>
        <v>datetime</v>
      </c>
      <c r="M70" s="13" t="str">
        <f>IF(Table2[[#This Row],[!Type]]=M$1, M$1,"rg:None")</f>
        <v>rg:None</v>
      </c>
      <c r="N70" s="13" t="str">
        <f>IF(Table2[[#This Row],[!Type]]=N$1, N$1,"rg:None")</f>
        <v>rg:None</v>
      </c>
      <c r="O70" s="13"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13" t="str">
        <f>IF(LEN(Table2[[#This Row],[!Length]]) &gt; 0, Table2[[#This Row],[!Length]], "rg:None")</f>
        <v>rg:None</v>
      </c>
      <c r="U70" s="13" t="str">
        <f>IF(LEN(Table2[[#This Row],[!Name]]) &gt; 0, Table2[[#This Row],[!Name]], "rg:None")</f>
        <v>endDate</v>
      </c>
      <c r="V70" s="13" t="str">
        <f>IF(LEN(Table2[[#This Row],[!Description]]) &gt; 0, Table2[[#This Row],[!Description]], "rg:None")</f>
        <v>The date this record was no longer in effect - likely because a new record was added with new Credit count(s).</v>
      </c>
      <c r="W70" s="13" t="str">
        <f>IF(LEN(Table2[[#This Row],[!FK]])&gt;0,Table2[[#This Row],[!FK]],"rg:None")</f>
        <v>rg:None</v>
      </c>
      <c r="X70" s="13" t="str">
        <f>IF(LEN(concatif2(A:A,Table2[[#This Row],[!Table]],G:G,"Y",D:D,",")) &gt; 0,"rg:[ { 'req' : '"&amp;concatif2(A:A,Table2[[#This Row],[!Table]],G:G,"Y",D:D,"' }, { 'req': '")&amp;"'} ]","rg:[]")</f>
        <v>rg:[ { 'req' : 'id' }, { 'req': 'fuelSupplierFK' }, { 'req': 'validatedCredits' }, { 'req': 'effectiveDate'} ]</v>
      </c>
      <c r="Y70" s="13" t="str">
        <f>IF(LEN(Table2[[#This Row],[!Unique]])&gt;0,IF(Table2[[#This Row],[!Type]] = "id", "rg:None","rg:True"),"rg:None")</f>
        <v>rg:None</v>
      </c>
    </row>
    <row r="71" spans="1:25" s="4" customFormat="1" ht="43.2" customHeight="1" x14ac:dyDescent="0.3">
      <c r="A71" s="50" t="s">
        <v>157</v>
      </c>
      <c r="B71" s="50" t="s">
        <v>8</v>
      </c>
      <c r="C71" s="5"/>
      <c r="D71" s="82" t="s">
        <v>329</v>
      </c>
      <c r="E71" s="87" t="s">
        <v>336</v>
      </c>
      <c r="F71" s="52" t="s">
        <v>125</v>
      </c>
      <c r="G71" s="67"/>
      <c r="H71" s="14"/>
      <c r="I71" s="4" t="str">
        <f>IF(LEN(A71) &gt; 0,"Defs","-")</f>
        <v>Defs</v>
      </c>
      <c r="J71" s="13" t="str">
        <f>IF(Table2[[#This Row],[!Type]]=J$1, J$1,"rg:None")</f>
        <v>rg:None</v>
      </c>
      <c r="K71" s="13" t="str">
        <f>IF(Table2[[#This Row],[!Type]]=K$1, K$1,"rg:None")</f>
        <v>rg:None</v>
      </c>
      <c r="L71" s="13" t="str">
        <f>IF(Table2[[#This Row],[!Type]]=L$1, L$1,"rg:None")</f>
        <v>rg:None</v>
      </c>
      <c r="M71" s="13" t="str">
        <f>IF(Table2[[#This Row],[!Type]]=M$1, M$1,"rg:None")</f>
        <v>rg:None</v>
      </c>
      <c r="N71" s="13" t="str">
        <f>IF(Table2[[#This Row],[!Type]]=N$1, N$1,"rg:None")</f>
        <v>rg:None</v>
      </c>
      <c r="O71" s="13" t="str">
        <f>IF(Table2[[#This Row],[!Type]]=O$1, O$1,"rg:None")</f>
        <v>rg:None</v>
      </c>
      <c r="P71" s="4" t="str">
        <f>IF(Table2[[#This Row],[!Type]]=P$1, P$1,"rg:None")</f>
        <v>rg:None</v>
      </c>
      <c r="Q71" s="4" t="str">
        <f>IF(Table2[[#This Row],[!Type]]=Q$1, Q$1,"rg:None")</f>
        <v>ref</v>
      </c>
      <c r="R71" s="4" t="str">
        <f>IF(Table2[[#This Row],[!Type]]=R$1, R$1,"rg:None")</f>
        <v>rg:None</v>
      </c>
      <c r="S71" s="4" t="str">
        <f>IF(Table2[[#This Row],[!Type]]=S$1, S$1,"rg:None")</f>
        <v>rg:None</v>
      </c>
      <c r="T71" s="13" t="str">
        <f>IF(LEN(Table2[[#This Row],[!Length]]) &gt; 0, Table2[[#This Row],[!Length]], "rg:None")</f>
        <v>rg:None</v>
      </c>
      <c r="U71" s="13" t="str">
        <f>IF(LEN(Table2[[#This Row],[!Name]]) &gt; 0, Table2[[#This Row],[!Name]], "rg:None")</f>
        <v>creditTradeFK</v>
      </c>
      <c r="V71" s="13" t="str">
        <f>IF(LEN(Table2[[#This Row],[!Description]]) &gt; 0, Table2[[#This Row],[!Description]], "rg:None")</f>
        <v>A foreign key reference to a CreditTrade that triggered a change in the number of validated credits held by the Fuel Supplier.</v>
      </c>
      <c r="W71" s="13" t="str">
        <f>IF(LEN(Table2[[#This Row],[!FK]])&gt;0,Table2[[#This Row],[!FK]],"rg:None")</f>
        <v>CreditTrade</v>
      </c>
      <c r="X71" s="13" t="str">
        <f>IF(LEN(concatif2(A:A,Table2[[#This Row],[!Table]],G:G,"Y",D:D,",")) &gt; 0,"rg:[ { 'req' : '"&amp;concatif2(A:A,Table2[[#This Row],[!Table]],G:G,"Y",D:D,"' }, { 'req': '")&amp;"'} ]","rg:[]")</f>
        <v>rg:[ { 'req' : 'id' }, { 'req': 'fuelSupplierFK' }, { 'req': 'validatedCredits' }, { 'req': 'effectiveDate'} ]</v>
      </c>
      <c r="Y71" s="13" t="str">
        <f>IF(LEN(Table2[[#This Row],[!Unique]])&gt;0,IF(Table2[[#This Row],[!Type]] = "id", "rg:None","rg:True"),"rg:None")</f>
        <v>rg:None</v>
      </c>
    </row>
    <row r="72" spans="1:25" s="4" customFormat="1" ht="28.8" customHeight="1" x14ac:dyDescent="0.3">
      <c r="A72" s="44" t="s">
        <v>139</v>
      </c>
      <c r="B72" s="44" t="s">
        <v>4</v>
      </c>
      <c r="C72" s="5"/>
      <c r="D72" s="44" t="s">
        <v>139</v>
      </c>
      <c r="E72" s="69" t="s">
        <v>291</v>
      </c>
      <c r="F72" s="18"/>
      <c r="G72" s="14"/>
      <c r="H72" s="14"/>
      <c r="I72" s="4" t="str">
        <f t="shared" ref="I72:I73" si="11">IF(LEN(A72) &gt; 0,"Defs","-")</f>
        <v>Defs</v>
      </c>
      <c r="J72" s="13" t="str">
        <f>IF(Table2[[#This Row],[!Type]]=J$1, J$1,"rg:None")</f>
        <v>rg:None</v>
      </c>
      <c r="K72" s="13" t="str">
        <f>IF(Table2[[#This Row],[!Type]]=K$1, K$1,"rg:None")</f>
        <v>rg:None</v>
      </c>
      <c r="L72" s="13" t="str">
        <f>IF(Table2[[#This Row],[!Type]]=L$1, L$1,"rg:None")</f>
        <v>rg:None</v>
      </c>
      <c r="M72" s="13" t="str">
        <f>IF(Table2[[#This Row],[!Type]]=M$1, M$1,"rg:None")</f>
        <v>rg:None</v>
      </c>
      <c r="N72" s="13" t="str">
        <f>IF(Table2[[#This Row],[!Type]]=N$1, N$1,"rg:None")</f>
        <v>rg:None</v>
      </c>
      <c r="O72" s="13" t="str">
        <f>IF(Table2[[#This Row],[!Type]]=O$1, O$1,"rg:None")</f>
        <v>rg:None</v>
      </c>
      <c r="P72" s="4" t="str">
        <f>IF(Table2[[#This Row],[!Type]]=P$1, P$1,"rg:None")</f>
        <v>rg:None</v>
      </c>
      <c r="Q72" s="4" t="str">
        <f>IF(Table2[[#This Row],[!Type]]=Q$1, Q$1,"rg:None")</f>
        <v>rg:None</v>
      </c>
      <c r="R72" s="4" t="str">
        <f>IF(Table2[[#This Row],[!Type]]=R$1, R$1,"rg:None")</f>
        <v>rg:None</v>
      </c>
      <c r="S72" s="4" t="str">
        <f>IF(Table2[[#This Row],[!Type]]=S$1, S$1,"rg:None")</f>
        <v>table</v>
      </c>
      <c r="T72" s="13" t="str">
        <f>IF(LEN(Table2[[#This Row],[!Length]]) &gt; 0, Table2[[#This Row],[!Length]], "rg:None")</f>
        <v>rg:None</v>
      </c>
      <c r="U72" s="13" t="str">
        <f>IF(LEN(Table2[[#This Row],[!Name]]) &gt; 0, Table2[[#This Row],[!Name]], "rg:None")</f>
        <v>FuelSupplierStatus</v>
      </c>
      <c r="V72" s="13" t="str">
        <f>IF(LEN(Table2[[#This Row],[!Description]]) &gt; 0, Table2[[#This Row],[!Description]], "rg:None")</f>
        <v>The statuses of a Fuel Supplier over their lifecycle in the application.</v>
      </c>
      <c r="W72" s="13" t="str">
        <f>IF(LEN(Table2[[#This Row],[!FK]])&gt;0,Table2[[#This Row],[!FK]],"rg:None")</f>
        <v>rg:None</v>
      </c>
      <c r="X72" s="13" t="str">
        <f>IF(LEN(concatif2(A:A,Table2[[#This Row],[!Table]],G:G,"Y",D:D,",")) &gt; 0,"rg:[ { 'req' : '"&amp;concatif2(A:A,Table2[[#This Row],[!Table]],G:G,"Y",D:D,"' }, { 'req': '")&amp;"'} ]","rg:[]")</f>
        <v>rg:[ { 'req' : 'id' }, { 'req': 'status' }, { 'req': 'effectiveDate'} ]</v>
      </c>
      <c r="Y72" s="13" t="str">
        <f>IF(LEN(Table2[[#This Row],[!Unique]])&gt;0,IF(Table2[[#This Row],[!Type]] = "id", "rg:None","rg:True"),"rg:None")</f>
        <v>rg:None</v>
      </c>
    </row>
    <row r="73" spans="1:25" s="4" customFormat="1" ht="28.8" x14ac:dyDescent="0.3">
      <c r="A73" s="44" t="s">
        <v>139</v>
      </c>
      <c r="B73" s="44" t="s">
        <v>6</v>
      </c>
      <c r="C73" s="5"/>
      <c r="D73" s="44" t="s">
        <v>6</v>
      </c>
      <c r="E73" s="68" t="s">
        <v>225</v>
      </c>
      <c r="F73" s="18"/>
      <c r="G73" s="79" t="s">
        <v>38</v>
      </c>
      <c r="H73" s="79" t="s">
        <v>38</v>
      </c>
      <c r="I73" s="4" t="str">
        <f t="shared" si="11"/>
        <v>Defs</v>
      </c>
      <c r="J73" s="13" t="str">
        <f>IF(Table2[[#This Row],[!Type]]=J$1, J$1,"rg:None")</f>
        <v>rg:None</v>
      </c>
      <c r="K73" s="13" t="str">
        <f>IF(Table2[[#This Row],[!Type]]=K$1, K$1,"rg:None")</f>
        <v>rg:None</v>
      </c>
      <c r="L73" s="13" t="str">
        <f>IF(Table2[[#This Row],[!Type]]=L$1, L$1,"rg:None")</f>
        <v>rg:None</v>
      </c>
      <c r="M73" s="13" t="str">
        <f>IF(Table2[[#This Row],[!Type]]=M$1, M$1,"rg:None")</f>
        <v>id</v>
      </c>
      <c r="N73" s="13" t="str">
        <f>IF(Table2[[#This Row],[!Type]]=N$1, N$1,"rg:None")</f>
        <v>rg:None</v>
      </c>
      <c r="O73" s="13"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rg:None</v>
      </c>
      <c r="T73" s="13" t="str">
        <f>IF(LEN(Table2[[#This Row],[!Length]]) &gt; 0, Table2[[#This Row],[!Length]], "rg:None")</f>
        <v>rg:None</v>
      </c>
      <c r="U73" s="13" t="str">
        <f>IF(LEN(Table2[[#This Row],[!Name]]) &gt; 0, Table2[[#This Row],[!Name]], "rg:None")</f>
        <v>id</v>
      </c>
      <c r="V73" s="13" t="str">
        <f>IF(LEN(Table2[[#This Row],[!Description]]) &gt; 0, Table2[[#This Row],[!Description]], "rg:None")</f>
        <v>A system-generated unique identifier for a Fuel Supplier Status.</v>
      </c>
      <c r="W73" s="13" t="str">
        <f>IF(LEN(Table2[[#This Row],[!FK]])&gt;0,Table2[[#This Row],[!FK]],"rg:None")</f>
        <v>rg:None</v>
      </c>
      <c r="X73" s="13" t="str">
        <f>IF(LEN(concatif2(A:A,Table2[[#This Row],[!Table]],G:G,"Y",D:D,",")) &gt; 0,"rg:[ { 'req' : '"&amp;concatif2(A:A,Table2[[#This Row],[!Table]],G:G,"Y",D:D,"' }, { 'req': '")&amp;"'} ]","rg:[]")</f>
        <v>rg:[ { 'req' : 'id' }, { 'req': 'status' }, { 'req': 'effectiveDate'} ]</v>
      </c>
      <c r="Y73" s="13" t="str">
        <f>IF(LEN(Table2[[#This Row],[!Unique]])&gt;0,IF(Table2[[#This Row],[!Type]] = "id", "rg:None","rg:True"),"rg:None")</f>
        <v>rg:None</v>
      </c>
    </row>
    <row r="74" spans="1:25" s="4" customFormat="1" ht="16.05" customHeight="1" x14ac:dyDescent="0.3">
      <c r="A74" s="44" t="s">
        <v>139</v>
      </c>
      <c r="B74" s="44" t="s">
        <v>7</v>
      </c>
      <c r="C74" s="5">
        <v>25</v>
      </c>
      <c r="D74" s="44" t="s">
        <v>9</v>
      </c>
      <c r="E74" s="69" t="s">
        <v>286</v>
      </c>
      <c r="F74" s="6"/>
      <c r="G74" s="79" t="s">
        <v>38</v>
      </c>
      <c r="H74" s="14"/>
      <c r="I74" s="4" t="str">
        <f t="shared" ref="I74:I77" si="12">IF(LEN(A74) &gt; 0,"Defs","-")</f>
        <v>Defs</v>
      </c>
      <c r="J74" s="13" t="str">
        <f>IF(Table2[[#This Row],[!Type]]=J$1, J$1,"rg:None")</f>
        <v>rg:None</v>
      </c>
      <c r="K74" s="13" t="str">
        <f>IF(Table2[[#This Row],[!Type]]=K$1, K$1,"rg:None")</f>
        <v>rg:None</v>
      </c>
      <c r="L74" s="13" t="str">
        <f>IF(Table2[[#This Row],[!Type]]=L$1, L$1,"rg:None")</f>
        <v>rg:None</v>
      </c>
      <c r="M74" s="13" t="str">
        <f>IF(Table2[[#This Row],[!Type]]=M$1, M$1,"rg:None")</f>
        <v>rg:None</v>
      </c>
      <c r="N74" s="13" t="str">
        <f>IF(Table2[[#This Row],[!Type]]=N$1, N$1,"rg:None")</f>
        <v>rg:None</v>
      </c>
      <c r="O74" s="13"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13">
        <f>IF(LEN(Table2[[#This Row],[!Length]]) &gt; 0, Table2[[#This Row],[!Length]], "rg:None")</f>
        <v>25</v>
      </c>
      <c r="U74" s="13" t="str">
        <f>IF(LEN(Table2[[#This Row],[!Name]]) &gt; 0, Table2[[#This Row],[!Name]], "rg:None")</f>
        <v>status</v>
      </c>
      <c r="V74" s="13" t="str">
        <f>IF(LEN(Table2[[#This Row],[!Description]]) &gt; 0, Table2[[#This Row],[!Description]], "rg:None")</f>
        <v>The name of the Fuel Supplier status.</v>
      </c>
      <c r="W74" s="13" t="str">
        <f>IF(LEN(Table2[[#This Row],[!FK]])&gt;0,Table2[[#This Row],[!FK]],"rg:None")</f>
        <v>rg:None</v>
      </c>
      <c r="X74" s="13" t="str">
        <f>IF(LEN(concatif2(A:A,Table2[[#This Row],[!Table]],G:G,"Y",D:D,",")) &gt; 0,"rg:[ { 'req' : '"&amp;concatif2(A:A,Table2[[#This Row],[!Table]],G:G,"Y",D:D,"' }, { 'req': '")&amp;"'} ]","rg:[]")</f>
        <v>rg:[ { 'req' : 'id' }, { 'req': 'status' }, { 'req': 'effectiveDate'} ]</v>
      </c>
      <c r="Y74" s="13" t="str">
        <f>IF(LEN(Table2[[#This Row],[!Unique]])&gt;0,IF(Table2[[#This Row],[!Type]] = "id", "rg:None","rg:True"),"rg:None")</f>
        <v>rg:None</v>
      </c>
    </row>
    <row r="75" spans="1:25" s="4" customFormat="1" ht="28.8" customHeight="1" x14ac:dyDescent="0.3">
      <c r="A75" s="44" t="s">
        <v>139</v>
      </c>
      <c r="B75" s="55" t="s">
        <v>7</v>
      </c>
      <c r="C75" s="5">
        <v>1000</v>
      </c>
      <c r="D75" s="55" t="s">
        <v>13</v>
      </c>
      <c r="E75" s="69" t="s">
        <v>287</v>
      </c>
      <c r="F75" s="6"/>
      <c r="G75" s="14"/>
      <c r="H75" s="14"/>
      <c r="I75" s="4" t="str">
        <f t="shared" si="12"/>
        <v>Defs</v>
      </c>
      <c r="J75" s="13" t="str">
        <f>IF(Table2[[#This Row],[!Type]]=J$1, J$1,"rg:None")</f>
        <v>rg:None</v>
      </c>
      <c r="K75" s="13" t="str">
        <f>IF(Table2[[#This Row],[!Type]]=K$1, K$1,"rg:None")</f>
        <v>rg:None</v>
      </c>
      <c r="L75" s="13" t="str">
        <f>IF(Table2[[#This Row],[!Type]]=L$1, L$1,"rg:None")</f>
        <v>rg:None</v>
      </c>
      <c r="M75" s="13" t="str">
        <f>IF(Table2[[#This Row],[!Type]]=M$1, M$1,"rg:None")</f>
        <v>rg:None</v>
      </c>
      <c r="N75" s="13" t="str">
        <f>IF(Table2[[#This Row],[!Type]]=N$1, N$1,"rg:None")</f>
        <v>rg:None</v>
      </c>
      <c r="O75" s="13" t="str">
        <f>IF(Table2[[#This Row],[!Type]]=O$1, O$1,"rg:None")</f>
        <v>rg:None</v>
      </c>
      <c r="P75" s="4" t="str">
        <f>IF(Table2[[#This Row],[!Type]]=P$1, P$1,"rg:None")</f>
        <v>rg:None</v>
      </c>
      <c r="Q75" s="4" t="str">
        <f>IF(Table2[[#This Row],[!Type]]=Q$1, Q$1,"rg:None")</f>
        <v>rg:None</v>
      </c>
      <c r="R75" s="4" t="str">
        <f>IF(Table2[[#This Row],[!Type]]=R$1, R$1,"rg:None")</f>
        <v>string</v>
      </c>
      <c r="S75" s="4" t="str">
        <f>IF(Table2[[#This Row],[!Type]]=S$1, S$1,"rg:None")</f>
        <v>rg:None</v>
      </c>
      <c r="T75" s="13">
        <f>IF(LEN(Table2[[#This Row],[!Length]]) &gt; 0, Table2[[#This Row],[!Length]], "rg:None")</f>
        <v>1000</v>
      </c>
      <c r="U75" s="13" t="str">
        <f>IF(LEN(Table2[[#This Row],[!Name]]) &gt; 0, Table2[[#This Row],[!Name]], "rg:None")</f>
        <v>description</v>
      </c>
      <c r="V75" s="13" t="str">
        <f>IF(LEN(Table2[[#This Row],[!Description]]) &gt; 0, Table2[[#This Row],[!Description]], "rg:None")</f>
        <v>End user help-text information about the Fuel Supplier Status.</v>
      </c>
      <c r="W75" s="13" t="str">
        <f>IF(LEN(Table2[[#This Row],[!FK]])&gt;0,Table2[[#This Row],[!FK]],"rg:None")</f>
        <v>rg:None</v>
      </c>
      <c r="X75" s="13" t="str">
        <f>IF(LEN(concatif2(A:A,Table2[[#This Row],[!Table]],G:G,"Y",D:D,",")) &gt; 0,"rg:[ { 'req' : '"&amp;concatif2(A:A,Table2[[#This Row],[!Table]],G:G,"Y",D:D,"' }, { 'req': '")&amp;"'} ]","rg:[]")</f>
        <v>rg:[ { 'req' : 'id' }, { 'req': 'status' }, { 'req': 'effectiveDate'} ]</v>
      </c>
      <c r="Y75" s="13" t="str">
        <f>IF(LEN(Table2[[#This Row],[!Unique]])&gt;0,IF(Table2[[#This Row],[!Type]] = "id", "rg:None","rg:True"),"rg:None")</f>
        <v>rg:None</v>
      </c>
    </row>
    <row r="76" spans="1:25" s="4" customFormat="1" ht="28.8" customHeight="1" x14ac:dyDescent="0.3">
      <c r="A76" s="44" t="s">
        <v>139</v>
      </c>
      <c r="B76" s="55" t="s">
        <v>11</v>
      </c>
      <c r="C76" s="5"/>
      <c r="D76" s="55" t="s">
        <v>158</v>
      </c>
      <c r="E76" s="69" t="s">
        <v>288</v>
      </c>
      <c r="F76" s="6"/>
      <c r="G76" s="57" t="s">
        <v>38</v>
      </c>
      <c r="H76" s="14"/>
      <c r="I76" s="4" t="str">
        <f t="shared" si="12"/>
        <v>Defs</v>
      </c>
      <c r="J76" s="13" t="str">
        <f>IF(Table2[[#This Row],[!Type]]=J$1, J$1,"rg:None")</f>
        <v>rg:None</v>
      </c>
      <c r="K76" s="13" t="str">
        <f>IF(Table2[[#This Row],[!Type]]=K$1, K$1,"rg:None")</f>
        <v>rg:None</v>
      </c>
      <c r="L76" s="13" t="str">
        <f>IF(Table2[[#This Row],[!Type]]=L$1, L$1,"rg:None")</f>
        <v>datetime</v>
      </c>
      <c r="M76" s="13" t="str">
        <f>IF(Table2[[#This Row],[!Type]]=M$1, M$1,"rg:None")</f>
        <v>rg:None</v>
      </c>
      <c r="N76" s="13" t="str">
        <f>IF(Table2[[#This Row],[!Type]]=N$1, N$1,"rg:None")</f>
        <v>rg:None</v>
      </c>
      <c r="O76" s="13"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13" t="str">
        <f>IF(LEN(Table2[[#This Row],[!Length]]) &gt; 0, Table2[[#This Row],[!Length]], "rg:None")</f>
        <v>rg:None</v>
      </c>
      <c r="U76" s="13" t="str">
        <f>IF(LEN(Table2[[#This Row],[!Name]]) &gt; 0, Table2[[#This Row],[!Name]], "rg:None")</f>
        <v>effectiveDate</v>
      </c>
      <c r="V76" s="13" t="str">
        <f>IF(LEN(Table2[[#This Row],[!Description]]) &gt; 0, Table2[[#This Row],[!Description]], "rg:None")</f>
        <v>The date/time upon which the Fuel Supplier status was activated for use.</v>
      </c>
      <c r="W76" s="13" t="str">
        <f>IF(LEN(Table2[[#This Row],[!FK]])&gt;0,Table2[[#This Row],[!FK]],"rg:None")</f>
        <v>rg:None</v>
      </c>
      <c r="X76" s="13" t="str">
        <f>IF(LEN(concatif2(A:A,Table2[[#This Row],[!Table]],G:G,"Y",D:D,",")) &gt; 0,"rg:[ { 'req' : '"&amp;concatif2(A:A,Table2[[#This Row],[!Table]],G:G,"Y",D:D,"' }, { 'req': '")&amp;"'} ]","rg:[]")</f>
        <v>rg:[ { 'req' : 'id' }, { 'req': 'status' }, { 'req': 'effectiveDate'} ]</v>
      </c>
      <c r="Y76" s="13" t="str">
        <f>IF(LEN(Table2[[#This Row],[!Unique]])&gt;0,IF(Table2[[#This Row],[!Type]] = "id", "rg:None","rg:True"),"rg:None")</f>
        <v>rg:None</v>
      </c>
    </row>
    <row r="77" spans="1:25" s="4" customFormat="1" ht="28.8" customHeight="1" x14ac:dyDescent="0.3">
      <c r="A77" s="44" t="s">
        <v>139</v>
      </c>
      <c r="B77" s="55" t="s">
        <v>11</v>
      </c>
      <c r="C77" s="5"/>
      <c r="D77" s="55" t="s">
        <v>165</v>
      </c>
      <c r="E77" s="69" t="s">
        <v>289</v>
      </c>
      <c r="F77" s="6"/>
      <c r="G77" s="14"/>
      <c r="H77" s="14"/>
      <c r="I77" s="4" t="str">
        <f t="shared" si="12"/>
        <v>Defs</v>
      </c>
      <c r="J77" s="13" t="str">
        <f>IF(Table2[[#This Row],[!Type]]=J$1, J$1,"rg:None")</f>
        <v>rg:None</v>
      </c>
      <c r="K77" s="13" t="str">
        <f>IF(Table2[[#This Row],[!Type]]=K$1, K$1,"rg:None")</f>
        <v>rg:None</v>
      </c>
      <c r="L77" s="13" t="str">
        <f>IF(Table2[[#This Row],[!Type]]=L$1, L$1,"rg:None")</f>
        <v>datetime</v>
      </c>
      <c r="M77" s="13" t="str">
        <f>IF(Table2[[#This Row],[!Type]]=M$1, M$1,"rg:None")</f>
        <v>rg:None</v>
      </c>
      <c r="N77" s="13" t="str">
        <f>IF(Table2[[#This Row],[!Type]]=N$1, N$1,"rg:None")</f>
        <v>rg:None</v>
      </c>
      <c r="O77" s="13" t="str">
        <f>IF(Table2[[#This Row],[!Type]]=O$1, O$1,"rg:None")</f>
        <v>rg:None</v>
      </c>
      <c r="P77" s="4" t="str">
        <f>IF(Table2[[#This Row],[!Type]]=P$1, P$1,"rg:None")</f>
        <v>rg:None</v>
      </c>
      <c r="Q77" s="4" t="str">
        <f>IF(Table2[[#This Row],[!Type]]=Q$1, Q$1,"rg:None")</f>
        <v>rg:None</v>
      </c>
      <c r="R77" s="4" t="str">
        <f>IF(Table2[[#This Row],[!Type]]=R$1, R$1,"rg:None")</f>
        <v>rg:None</v>
      </c>
      <c r="S77" s="4" t="str">
        <f>IF(Table2[[#This Row],[!Type]]=S$1, S$1,"rg:None")</f>
        <v>rg:None</v>
      </c>
      <c r="T77" s="13" t="str">
        <f>IF(LEN(Table2[[#This Row],[!Length]]) &gt; 0, Table2[[#This Row],[!Length]], "rg:None")</f>
        <v>rg:None</v>
      </c>
      <c r="U77" s="13" t="str">
        <f>IF(LEN(Table2[[#This Row],[!Name]]) &gt; 0, Table2[[#This Row],[!Name]], "rg:None")</f>
        <v>expirationDate</v>
      </c>
      <c r="V77" s="13" t="str">
        <f>IF(LEN(Table2[[#This Row],[!Description]]) &gt; 0, Table2[[#This Row],[!Description]], "rg:None")</f>
        <v>The data after which the Fuel Supplier status will no longer be used.</v>
      </c>
      <c r="W77" s="13" t="str">
        <f>IF(LEN(Table2[[#This Row],[!FK]])&gt;0,Table2[[#This Row],[!FK]],"rg:None")</f>
        <v>rg:None</v>
      </c>
      <c r="X77" s="13" t="str">
        <f>IF(LEN(concatif2(A:A,Table2[[#This Row],[!Table]],G:G,"Y",D:D,",")) &gt; 0,"rg:[ { 'req' : '"&amp;concatif2(A:A,Table2[[#This Row],[!Table]],G:G,"Y",D:D,"' }, { 'req': '")&amp;"'} ]","rg:[]")</f>
        <v>rg:[ { 'req' : 'id' }, { 'req': 'status' }, { 'req': 'effectiveDate'} ]</v>
      </c>
      <c r="Y77" s="13" t="str">
        <f>IF(LEN(Table2[[#This Row],[!Unique]])&gt;0,IF(Table2[[#This Row],[!Type]] = "id", "rg:None","rg:True"),"rg:None")</f>
        <v>rg:None</v>
      </c>
    </row>
    <row r="78" spans="1:25" s="4" customFormat="1" ht="57.6" customHeight="1" x14ac:dyDescent="0.3">
      <c r="A78" s="44" t="s">
        <v>139</v>
      </c>
      <c r="B78" s="55" t="s">
        <v>12</v>
      </c>
      <c r="C78" s="5"/>
      <c r="D78" s="55" t="s">
        <v>166</v>
      </c>
      <c r="E78" s="69" t="s">
        <v>290</v>
      </c>
      <c r="F78" s="6"/>
      <c r="G78" s="14"/>
      <c r="H78" s="14"/>
      <c r="I78" s="4" t="str">
        <f>IF(LEN(A78) &gt; 0,"Defs","-")</f>
        <v>Defs</v>
      </c>
      <c r="J78" s="13" t="str">
        <f>IF(Table2[[#This Row],[!Type]]=J$1, J$1,"rg:None")</f>
        <v>rg:None</v>
      </c>
      <c r="K78" s="13" t="str">
        <f>IF(Table2[[#This Row],[!Type]]=K$1, K$1,"rg:None")</f>
        <v>rg:None</v>
      </c>
      <c r="L78" s="13" t="str">
        <f>IF(Table2[[#This Row],[!Type]]=L$1, L$1,"rg:None")</f>
        <v>rg:None</v>
      </c>
      <c r="M78" s="13" t="str">
        <f>IF(Table2[[#This Row],[!Type]]=M$1, M$1,"rg:None")</f>
        <v>rg:None</v>
      </c>
      <c r="N78" s="13" t="str">
        <f>IF(Table2[[#This Row],[!Type]]=N$1, N$1,"rg:None")</f>
        <v>integer</v>
      </c>
      <c r="O78" s="13"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rg:None</v>
      </c>
      <c r="T78" s="13" t="str">
        <f>IF(LEN(Table2[[#This Row],[!Length]]) &gt; 0, Table2[[#This Row],[!Length]], "rg:None")</f>
        <v>rg:None</v>
      </c>
      <c r="U78" s="13" t="str">
        <f>IF(LEN(Table2[[#This Row],[!Name]]) &gt; 0, Table2[[#This Row],[!Name]], "rg:None")</f>
        <v>displayOrder</v>
      </c>
      <c r="V78" s="13" t="str">
        <f>IF(LEN(Table2[[#This Row],[!Description]]) &gt; 0, Table2[[#This Row],[!Description]], "rg:None")</f>
        <v>The order of display of the Fuel Supplier status. In general the order will be listed chronologically as they occur in a typical transaction, with exception statuses (e.g. Cancelled) at the bottom.</v>
      </c>
      <c r="W78" s="13" t="str">
        <f>IF(LEN(Table2[[#This Row],[!FK]])&gt;0,Table2[[#This Row],[!FK]],"rg:None")</f>
        <v>rg:None</v>
      </c>
      <c r="X78" s="13" t="str">
        <f>IF(LEN(concatif2(A:A,Table2[[#This Row],[!Table]],G:G,"Y",D:D,",")) &gt; 0,"rg:[ { 'req' : '"&amp;concatif2(A:A,Table2[[#This Row],[!Table]],G:G,"Y",D:D,"' }, { 'req': '")&amp;"'} ]","rg:[]")</f>
        <v>rg:[ { 'req' : 'id' }, { 'req': 'status' }, { 'req': 'effectiveDate'} ]</v>
      </c>
      <c r="Y78" s="13" t="str">
        <f>IF(LEN(Table2[[#This Row],[!Unique]])&gt;0,IF(Table2[[#This Row],[!Type]] = "id", "rg:None","rg:True"),"rg:None")</f>
        <v>rg:None</v>
      </c>
    </row>
    <row r="79" spans="1:25" s="4" customFormat="1" ht="28.8" customHeight="1" x14ac:dyDescent="0.3">
      <c r="A79" s="64" t="s">
        <v>204</v>
      </c>
      <c r="B79" s="44" t="s">
        <v>4</v>
      </c>
      <c r="C79" s="5"/>
      <c r="D79" s="64" t="s">
        <v>204</v>
      </c>
      <c r="E79" s="68" t="s">
        <v>205</v>
      </c>
      <c r="F79" s="6"/>
      <c r="G79" s="79"/>
      <c r="H79" s="79"/>
      <c r="I79" s="4" t="str">
        <f t="shared" ref="I79:I84" si="13">IF(LEN(A79) &gt; 0,"Defs","-")</f>
        <v>Defs</v>
      </c>
      <c r="J79" s="13" t="str">
        <f>IF(Table2[[#This Row],[!Type]]=J$1, J$1,"rg:None")</f>
        <v>rg:None</v>
      </c>
      <c r="K79" s="13" t="str">
        <f>IF(Table2[[#This Row],[!Type]]=K$1, K$1,"rg:None")</f>
        <v>rg:None</v>
      </c>
      <c r="L79" s="13" t="str">
        <f>IF(Table2[[#This Row],[!Type]]=L$1, L$1,"rg:None")</f>
        <v>rg:None</v>
      </c>
      <c r="M79" s="13" t="str">
        <f>IF(Table2[[#This Row],[!Type]]=M$1, M$1,"rg:None")</f>
        <v>rg:None</v>
      </c>
      <c r="N79" s="13" t="str">
        <f>IF(Table2[[#This Row],[!Type]]=N$1, N$1,"rg:None")</f>
        <v>rg:None</v>
      </c>
      <c r="O79" s="13"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table</v>
      </c>
      <c r="T79" s="13" t="str">
        <f>IF(LEN(Table2[[#This Row],[!Length]]) &gt; 0, Table2[[#This Row],[!Length]], "rg:None")</f>
        <v>rg:None</v>
      </c>
      <c r="U79" s="13" t="str">
        <f>IF(LEN(Table2[[#This Row],[!Name]]) &gt; 0, Table2[[#This Row],[!Name]], "rg:None")</f>
        <v>FuelSupplierActionsType</v>
      </c>
      <c r="V79" s="13" t="str">
        <f>IF(LEN(Table2[[#This Row],[!Description]]) &gt; 0, Table2[[#This Row],[!Description]], "rg:None")</f>
        <v>The types of actions that Fuel Suppliers that can take - Buy and Sell, Buy Only, etc.</v>
      </c>
      <c r="W79" s="13" t="str">
        <f>IF(LEN(Table2[[#This Row],[!FK]])&gt;0,Table2[[#This Row],[!FK]],"rg:None")</f>
        <v>rg:None</v>
      </c>
      <c r="X79" s="13" t="str">
        <f>IF(LEN(concatif2(A:A,Table2[[#This Row],[!Table]],G:G,"Y",D:D,",")) &gt; 0,"rg:[ { 'req' : '"&amp;concatif2(A:A,Table2[[#This Row],[!Table]],G:G,"Y",D:D,"' }, { 'req': '")&amp;"'} ]","rg:[]")</f>
        <v>rg:[ { 'req' : 'id' }, { 'req': 'theType' }, { 'req': 'effectiveDate'} ]</v>
      </c>
      <c r="Y79" s="13" t="str">
        <f>IF(LEN(Table2[[#This Row],[!Unique]])&gt;0,IF(Table2[[#This Row],[!Type]] = "id", "rg:None","rg:True"),"rg:None")</f>
        <v>rg:None</v>
      </c>
    </row>
    <row r="80" spans="1:25" s="4" customFormat="1" ht="28.8" x14ac:dyDescent="0.3">
      <c r="A80" s="64" t="s">
        <v>204</v>
      </c>
      <c r="B80" s="44" t="s">
        <v>6</v>
      </c>
      <c r="C80" s="5"/>
      <c r="D80" s="44" t="s">
        <v>6</v>
      </c>
      <c r="E80" s="68" t="s">
        <v>226</v>
      </c>
      <c r="F80" s="6"/>
      <c r="G80" s="79" t="s">
        <v>38</v>
      </c>
      <c r="H80" s="79" t="s">
        <v>38</v>
      </c>
      <c r="I80" s="4" t="str">
        <f t="shared" si="13"/>
        <v>Defs</v>
      </c>
      <c r="J80" s="13" t="str">
        <f>IF(Table2[[#This Row],[!Type]]=J$1, J$1,"rg:None")</f>
        <v>rg:None</v>
      </c>
      <c r="K80" s="13" t="str">
        <f>IF(Table2[[#This Row],[!Type]]=K$1, K$1,"rg:None")</f>
        <v>rg:None</v>
      </c>
      <c r="L80" s="13" t="str">
        <f>IF(Table2[[#This Row],[!Type]]=L$1, L$1,"rg:None")</f>
        <v>rg:None</v>
      </c>
      <c r="M80" s="13" t="str">
        <f>IF(Table2[[#This Row],[!Type]]=M$1, M$1,"rg:None")</f>
        <v>id</v>
      </c>
      <c r="N80" s="13" t="str">
        <f>IF(Table2[[#This Row],[!Type]]=N$1, N$1,"rg:None")</f>
        <v>rg:None</v>
      </c>
      <c r="O80" s="13"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rg:None</v>
      </c>
      <c r="T80" s="13" t="str">
        <f>IF(LEN(Table2[[#This Row],[!Length]]) &gt; 0, Table2[[#This Row],[!Length]], "rg:None")</f>
        <v>rg:None</v>
      </c>
      <c r="U80" s="13" t="str">
        <f>IF(LEN(Table2[[#This Row],[!Name]]) &gt; 0, Table2[[#This Row],[!Name]], "rg:None")</f>
        <v>id</v>
      </c>
      <c r="V80" s="13" t="str">
        <f>IF(LEN(Table2[[#This Row],[!Description]]) &gt; 0, Table2[[#This Row],[!Description]], "rg:None")</f>
        <v>A system-generated unique identifier for a Fuel Supplier Actions Type.</v>
      </c>
      <c r="W80" s="13" t="str">
        <f>IF(LEN(Table2[[#This Row],[!FK]])&gt;0,Table2[[#This Row],[!FK]],"rg:None")</f>
        <v>rg:None</v>
      </c>
      <c r="X80" s="13" t="str">
        <f>IF(LEN(concatif2(A:A,Table2[[#This Row],[!Table]],G:G,"Y",D:D,",")) &gt; 0,"rg:[ { 'req' : '"&amp;concatif2(A:A,Table2[[#This Row],[!Table]],G:G,"Y",D:D,"' }, { 'req': '")&amp;"'} ]","rg:[]")</f>
        <v>rg:[ { 'req' : 'id' }, { 'req': 'theType' }, { 'req': 'effectiveDate'} ]</v>
      </c>
      <c r="Y80" s="13" t="str">
        <f>IF(LEN(Table2[[#This Row],[!Unique]])&gt;0,IF(Table2[[#This Row],[!Type]] = "id", "rg:None","rg:True"),"rg:None")</f>
        <v>rg:None</v>
      </c>
    </row>
    <row r="81" spans="1:25" s="4" customFormat="1" ht="28.8" customHeight="1" x14ac:dyDescent="0.3">
      <c r="A81" s="64" t="s">
        <v>204</v>
      </c>
      <c r="B81" s="44" t="s">
        <v>7</v>
      </c>
      <c r="C81" s="5">
        <v>25</v>
      </c>
      <c r="D81" s="78" t="s">
        <v>317</v>
      </c>
      <c r="E81" s="68" t="s">
        <v>206</v>
      </c>
      <c r="F81" s="6"/>
      <c r="G81" s="79" t="s">
        <v>38</v>
      </c>
      <c r="H81" s="14"/>
      <c r="I81" s="4" t="str">
        <f t="shared" si="13"/>
        <v>Defs</v>
      </c>
      <c r="J81" s="13" t="str">
        <f>IF(Table2[[#This Row],[!Type]]=J$1, J$1,"rg:None")</f>
        <v>rg:None</v>
      </c>
      <c r="K81" s="13" t="str">
        <f>IF(Table2[[#This Row],[!Type]]=K$1, K$1,"rg:None")</f>
        <v>rg:None</v>
      </c>
      <c r="L81" s="13" t="str">
        <f>IF(Table2[[#This Row],[!Type]]=L$1, L$1,"rg:None")</f>
        <v>rg:None</v>
      </c>
      <c r="M81" s="13" t="str">
        <f>IF(Table2[[#This Row],[!Type]]=M$1, M$1,"rg:None")</f>
        <v>rg:None</v>
      </c>
      <c r="N81" s="13" t="str">
        <f>IF(Table2[[#This Row],[!Type]]=N$1, N$1,"rg:None")</f>
        <v>rg:None</v>
      </c>
      <c r="O81" s="13" t="str">
        <f>IF(Table2[[#This Row],[!Type]]=O$1, O$1,"rg:None")</f>
        <v>rg:None</v>
      </c>
      <c r="P81" s="4" t="str">
        <f>IF(Table2[[#This Row],[!Type]]=P$1, P$1,"rg:None")</f>
        <v>rg:None</v>
      </c>
      <c r="Q81" s="4" t="str">
        <f>IF(Table2[[#This Row],[!Type]]=Q$1, Q$1,"rg:None")</f>
        <v>rg:None</v>
      </c>
      <c r="R81" s="4" t="str">
        <f>IF(Table2[[#This Row],[!Type]]=R$1, R$1,"rg:None")</f>
        <v>string</v>
      </c>
      <c r="S81" s="4" t="str">
        <f>IF(Table2[[#This Row],[!Type]]=S$1, S$1,"rg:None")</f>
        <v>rg:None</v>
      </c>
      <c r="T81" s="13">
        <f>IF(LEN(Table2[[#This Row],[!Length]]) &gt; 0, Table2[[#This Row],[!Length]], "rg:None")</f>
        <v>25</v>
      </c>
      <c r="U81" s="13" t="str">
        <f>IF(LEN(Table2[[#This Row],[!Name]]) &gt; 0, Table2[[#This Row],[!Name]], "rg:None")</f>
        <v>theType</v>
      </c>
      <c r="V81" s="13" t="str">
        <f>IF(LEN(Table2[[#This Row],[!Description]]) &gt; 0, Table2[[#This Row],[!Description]], "rg:None")</f>
        <v>The name of the type of actions the Fuel Supplier can perform.</v>
      </c>
      <c r="W81" s="13" t="str">
        <f>IF(LEN(Table2[[#This Row],[!FK]])&gt;0,Table2[[#This Row],[!FK]],"rg:None")</f>
        <v>rg:None</v>
      </c>
      <c r="X81" s="13" t="str">
        <f>IF(LEN(concatif2(A:A,Table2[[#This Row],[!Table]],G:G,"Y",D:D,",")) &gt; 0,"rg:[ { 'req' : '"&amp;concatif2(A:A,Table2[[#This Row],[!Table]],G:G,"Y",D:D,"' }, { 'req': '")&amp;"'} ]","rg:[]")</f>
        <v>rg:[ { 'req' : 'id' }, { 'req': 'theType' }, { 'req': 'effectiveDate'} ]</v>
      </c>
      <c r="Y81" s="13" t="str">
        <f>IF(LEN(Table2[[#This Row],[!Unique]])&gt;0,IF(Table2[[#This Row],[!Type]] = "id", "rg:None","rg:True"),"rg:None")</f>
        <v>rg:None</v>
      </c>
    </row>
    <row r="82" spans="1:25" s="4" customFormat="1" ht="28.8" customHeight="1" x14ac:dyDescent="0.3">
      <c r="A82" s="64" t="s">
        <v>204</v>
      </c>
      <c r="B82" s="55" t="s">
        <v>7</v>
      </c>
      <c r="C82" s="5">
        <v>1000</v>
      </c>
      <c r="D82" s="55" t="s">
        <v>13</v>
      </c>
      <c r="E82" s="68" t="s">
        <v>207</v>
      </c>
      <c r="F82" s="6"/>
      <c r="G82" s="14"/>
      <c r="H82" s="14"/>
      <c r="I82" s="4" t="str">
        <f t="shared" si="13"/>
        <v>Defs</v>
      </c>
      <c r="J82" s="13" t="str">
        <f>IF(Table2[[#This Row],[!Type]]=J$1, J$1,"rg:None")</f>
        <v>rg:None</v>
      </c>
      <c r="K82" s="13" t="str">
        <f>IF(Table2[[#This Row],[!Type]]=K$1, K$1,"rg:None")</f>
        <v>rg:None</v>
      </c>
      <c r="L82" s="13" t="str">
        <f>IF(Table2[[#This Row],[!Type]]=L$1, L$1,"rg:None")</f>
        <v>rg:None</v>
      </c>
      <c r="M82" s="13" t="str">
        <f>IF(Table2[[#This Row],[!Type]]=M$1, M$1,"rg:None")</f>
        <v>rg:None</v>
      </c>
      <c r="N82" s="13" t="str">
        <f>IF(Table2[[#This Row],[!Type]]=N$1, N$1,"rg:None")</f>
        <v>rg:None</v>
      </c>
      <c r="O82" s="13" t="str">
        <f>IF(Table2[[#This Row],[!Type]]=O$1, O$1,"rg:None")</f>
        <v>rg:None</v>
      </c>
      <c r="P82" s="4" t="str">
        <f>IF(Table2[[#This Row],[!Type]]=P$1, P$1,"rg:None")</f>
        <v>rg:None</v>
      </c>
      <c r="Q82" s="4" t="str">
        <f>IF(Table2[[#This Row],[!Type]]=Q$1, Q$1,"rg:None")</f>
        <v>rg:None</v>
      </c>
      <c r="R82" s="4" t="str">
        <f>IF(Table2[[#This Row],[!Type]]=R$1, R$1,"rg:None")</f>
        <v>string</v>
      </c>
      <c r="S82" s="4" t="str">
        <f>IF(Table2[[#This Row],[!Type]]=S$1, S$1,"rg:None")</f>
        <v>rg:None</v>
      </c>
      <c r="T82" s="13">
        <f>IF(LEN(Table2[[#This Row],[!Length]]) &gt; 0, Table2[[#This Row],[!Length]], "rg:None")</f>
        <v>1000</v>
      </c>
      <c r="U82" s="13" t="str">
        <f>IF(LEN(Table2[[#This Row],[!Name]]) &gt; 0, Table2[[#This Row],[!Name]], "rg:None")</f>
        <v>description</v>
      </c>
      <c r="V82" s="13" t="str">
        <f>IF(LEN(Table2[[#This Row],[!Description]]) &gt; 0, Table2[[#This Row],[!Description]], "rg:None")</f>
        <v>End user help-text information about the Fuel Supplier actions type.</v>
      </c>
      <c r="W82" s="13" t="str">
        <f>IF(LEN(Table2[[#This Row],[!FK]])&gt;0,Table2[[#This Row],[!FK]],"rg:None")</f>
        <v>rg:None</v>
      </c>
      <c r="X82" s="13" t="str">
        <f>IF(LEN(concatif2(A:A,Table2[[#This Row],[!Table]],G:G,"Y",D:D,",")) &gt; 0,"rg:[ { 'req' : '"&amp;concatif2(A:A,Table2[[#This Row],[!Table]],G:G,"Y",D:D,"' }, { 'req': '")&amp;"'} ]","rg:[]")</f>
        <v>rg:[ { 'req' : 'id' }, { 'req': 'theType' }, { 'req': 'effectiveDate'} ]</v>
      </c>
      <c r="Y82" s="13" t="str">
        <f>IF(LEN(Table2[[#This Row],[!Unique]])&gt;0,IF(Table2[[#This Row],[!Type]] = "id", "rg:None","rg:True"),"rg:None")</f>
        <v>rg:None</v>
      </c>
    </row>
    <row r="83" spans="1:25" s="4" customFormat="1" ht="28.8" customHeight="1" x14ac:dyDescent="0.3">
      <c r="A83" s="64" t="s">
        <v>204</v>
      </c>
      <c r="B83" s="55" t="s">
        <v>11</v>
      </c>
      <c r="C83" s="5"/>
      <c r="D83" s="61" t="s">
        <v>158</v>
      </c>
      <c r="E83" s="68" t="s">
        <v>208</v>
      </c>
      <c r="F83" s="6"/>
      <c r="G83" s="79" t="s">
        <v>38</v>
      </c>
      <c r="H83" s="14"/>
      <c r="I83" s="4" t="str">
        <f t="shared" si="13"/>
        <v>Defs</v>
      </c>
      <c r="J83" s="13" t="str">
        <f>IF(Table2[[#This Row],[!Type]]=J$1, J$1,"rg:None")</f>
        <v>rg:None</v>
      </c>
      <c r="K83" s="13" t="str">
        <f>IF(Table2[[#This Row],[!Type]]=K$1, K$1,"rg:None")</f>
        <v>rg:None</v>
      </c>
      <c r="L83" s="13" t="str">
        <f>IF(Table2[[#This Row],[!Type]]=L$1, L$1,"rg:None")</f>
        <v>datetime</v>
      </c>
      <c r="M83" s="13" t="str">
        <f>IF(Table2[[#This Row],[!Type]]=M$1, M$1,"rg:None")</f>
        <v>rg:None</v>
      </c>
      <c r="N83" s="13" t="str">
        <f>IF(Table2[[#This Row],[!Type]]=N$1, N$1,"rg:None")</f>
        <v>rg:None</v>
      </c>
      <c r="O83" s="13" t="str">
        <f>IF(Table2[[#This Row],[!Type]]=O$1, O$1,"rg:None")</f>
        <v>rg:None</v>
      </c>
      <c r="P83" s="4" t="str">
        <f>IF(Table2[[#This Row],[!Type]]=P$1, P$1,"rg:None")</f>
        <v>rg:None</v>
      </c>
      <c r="Q83" s="4" t="str">
        <f>IF(Table2[[#This Row],[!Type]]=Q$1, Q$1,"rg:None")</f>
        <v>rg:None</v>
      </c>
      <c r="R83" s="4" t="str">
        <f>IF(Table2[[#This Row],[!Type]]=R$1, R$1,"rg:None")</f>
        <v>rg:None</v>
      </c>
      <c r="S83" s="4" t="str">
        <f>IF(Table2[[#This Row],[!Type]]=S$1, S$1,"rg:None")</f>
        <v>rg:None</v>
      </c>
      <c r="T83" s="13" t="str">
        <f>IF(LEN(Table2[[#This Row],[!Length]]) &gt; 0, Table2[[#This Row],[!Length]], "rg:None")</f>
        <v>rg:None</v>
      </c>
      <c r="U83" s="13" t="str">
        <f>IF(LEN(Table2[[#This Row],[!Name]]) &gt; 0, Table2[[#This Row],[!Name]], "rg:None")</f>
        <v>effectiveDate</v>
      </c>
      <c r="V83" s="13" t="str">
        <f>IF(LEN(Table2[[#This Row],[!Description]]) &gt; 0, Table2[[#This Row],[!Description]], "rg:None")</f>
        <v>The datetime upon which the Fuel Supplier actions type was activated for use.</v>
      </c>
      <c r="W83" s="13" t="str">
        <f>IF(LEN(Table2[[#This Row],[!FK]])&gt;0,Table2[[#This Row],[!FK]],"rg:None")</f>
        <v>rg:None</v>
      </c>
      <c r="X83" s="13" t="str">
        <f>IF(LEN(concatif2(A:A,Table2[[#This Row],[!Table]],G:G,"Y",D:D,",")) &gt; 0,"rg:[ { 'req' : '"&amp;concatif2(A:A,Table2[[#This Row],[!Table]],G:G,"Y",D:D,"' }, { 'req': '")&amp;"'} ]","rg:[]")</f>
        <v>rg:[ { 'req' : 'id' }, { 'req': 'theType' }, { 'req': 'effectiveDate'} ]</v>
      </c>
      <c r="Y83" s="13" t="str">
        <f>IF(LEN(Table2[[#This Row],[!Unique]])&gt;0,IF(Table2[[#This Row],[!Type]] = "id", "rg:None","rg:True"),"rg:None")</f>
        <v>rg:None</v>
      </c>
    </row>
    <row r="84" spans="1:25" s="4" customFormat="1" ht="28.8" customHeight="1" x14ac:dyDescent="0.3">
      <c r="A84" s="64" t="s">
        <v>204</v>
      </c>
      <c r="B84" s="55" t="s">
        <v>11</v>
      </c>
      <c r="C84" s="5"/>
      <c r="D84" s="55" t="s">
        <v>165</v>
      </c>
      <c r="E84" s="68" t="s">
        <v>209</v>
      </c>
      <c r="F84" s="6"/>
      <c r="G84" s="14"/>
      <c r="H84" s="14"/>
      <c r="I84" s="4" t="str">
        <f t="shared" si="13"/>
        <v>Defs</v>
      </c>
      <c r="J84" s="13" t="str">
        <f>IF(Table2[[#This Row],[!Type]]=J$1, J$1,"rg:None")</f>
        <v>rg:None</v>
      </c>
      <c r="K84" s="13" t="str">
        <f>IF(Table2[[#This Row],[!Type]]=K$1, K$1,"rg:None")</f>
        <v>rg:None</v>
      </c>
      <c r="L84" s="13" t="str">
        <f>IF(Table2[[#This Row],[!Type]]=L$1, L$1,"rg:None")</f>
        <v>datetime</v>
      </c>
      <c r="M84" s="13" t="str">
        <f>IF(Table2[[#This Row],[!Type]]=M$1, M$1,"rg:None")</f>
        <v>rg:None</v>
      </c>
      <c r="N84" s="13" t="str">
        <f>IF(Table2[[#This Row],[!Type]]=N$1, N$1,"rg:None")</f>
        <v>rg:None</v>
      </c>
      <c r="O84" s="13"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13" t="str">
        <f>IF(LEN(Table2[[#This Row],[!Length]]) &gt; 0, Table2[[#This Row],[!Length]], "rg:None")</f>
        <v>rg:None</v>
      </c>
      <c r="U84" s="13" t="str">
        <f>IF(LEN(Table2[[#This Row],[!Name]]) &gt; 0, Table2[[#This Row],[!Name]], "rg:None")</f>
        <v>expirationDate</v>
      </c>
      <c r="V84" s="13" t="str">
        <f>IF(LEN(Table2[[#This Row],[!Description]]) &gt; 0, Table2[[#This Row],[!Description]], "rg:None")</f>
        <v>The date/time after which the Fuel Supplier action type will no longer be used.</v>
      </c>
      <c r="W84" s="13" t="str">
        <f>IF(LEN(Table2[[#This Row],[!FK]])&gt;0,Table2[[#This Row],[!FK]],"rg:None")</f>
        <v>rg:None</v>
      </c>
      <c r="X84" s="13" t="str">
        <f>IF(LEN(concatif2(A:A,Table2[[#This Row],[!Table]],G:G,"Y",D:D,",")) &gt; 0,"rg:[ { 'req' : '"&amp;concatif2(A:A,Table2[[#This Row],[!Table]],G:G,"Y",D:D,"' }, { 'req': '")&amp;"'} ]","rg:[]")</f>
        <v>rg:[ { 'req' : 'id' }, { 'req': 'theType' }, { 'req': 'effectiveDate'} ]</v>
      </c>
      <c r="Y84" s="13" t="str">
        <f>IF(LEN(Table2[[#This Row],[!Unique]])&gt;0,IF(Table2[[#This Row],[!Type]] = "id", "rg:None","rg:True"),"rg:None")</f>
        <v>rg:None</v>
      </c>
    </row>
    <row r="85" spans="1:25" s="4" customFormat="1" ht="28.8" customHeight="1" x14ac:dyDescent="0.3">
      <c r="A85" s="64" t="s">
        <v>204</v>
      </c>
      <c r="B85" s="55" t="s">
        <v>12</v>
      </c>
      <c r="C85" s="5"/>
      <c r="D85" s="55" t="s">
        <v>166</v>
      </c>
      <c r="E85" s="69" t="s">
        <v>292</v>
      </c>
      <c r="F85" s="5" t="s">
        <v>5</v>
      </c>
      <c r="I85" s="5" t="str">
        <f t="shared" ref="I85" si="14">IF(LEN(A85) &gt; 0,"Defs","-")</f>
        <v>Defs</v>
      </c>
      <c r="J85" s="13" t="str">
        <f>IF(Table2[[#This Row],[!Type]]=J$1, J$1,"rg:None")</f>
        <v>rg:None</v>
      </c>
      <c r="K85" s="13" t="str">
        <f>IF(Table2[[#This Row],[!Type]]=K$1, K$1,"rg:None")</f>
        <v>rg:None</v>
      </c>
      <c r="L85" s="13" t="str">
        <f>IF(Table2[[#This Row],[!Type]]=L$1, L$1,"rg:None")</f>
        <v>rg:None</v>
      </c>
      <c r="M85" s="13" t="str">
        <f>IF(Table2[[#This Row],[!Type]]=M$1, M$1,"rg:None")</f>
        <v>rg:None</v>
      </c>
      <c r="N85" s="13" t="str">
        <f>IF(Table2[[#This Row],[!Type]]=N$1, N$1,"rg:None")</f>
        <v>integer</v>
      </c>
      <c r="O85" s="13"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13" t="str">
        <f>IF(LEN(Table2[[#This Row],[!Length]]) &gt; 0, Table2[[#This Row],[!Length]], "rg:None")</f>
        <v>rg:None</v>
      </c>
      <c r="U85" s="13" t="str">
        <f>IF(LEN(Table2[[#This Row],[!Name]]) &gt; 0, Table2[[#This Row],[!Name]], "rg:None")</f>
        <v>displayOrder</v>
      </c>
      <c r="V85" s="13" t="str">
        <f>IF(LEN(Table2[[#This Row],[!Description]]) &gt; 0, Table2[[#This Row],[!Description]], "rg:None")</f>
        <v>The order of display of the Fuel Supplier actions type. The order will be alphabetic.</v>
      </c>
      <c r="W85" s="13" t="str">
        <f>IF(LEN(Table2[[#This Row],[!FK]])&gt;0,Table2[[#This Row],[!FK]],"rg:None")</f>
        <v>rg:None</v>
      </c>
      <c r="X85" s="13" t="str">
        <f>IF(LEN(concatif2(A:A,Table2[[#This Row],[!Table]],G:G,"Y",D:D,",")) &gt; 0,"rg:[ { 'req' : '"&amp;concatif2(A:A,Table2[[#This Row],[!Table]],G:G,"Y",D:D,"' }, { 'req': '")&amp;"'} ]","rg:[]")</f>
        <v>rg:[ { 'req' : 'id' }, { 'req': 'theType' }, { 'req': 'effectiveDate'} ]</v>
      </c>
      <c r="Y85" s="13" t="str">
        <f>IF(LEN(Table2[[#This Row],[!Unique]])&gt;0,IF(Table2[[#This Row],[!Type]] = "id", "rg:None","rg:True"),"rg:None")</f>
        <v>rg:None</v>
      </c>
    </row>
    <row r="86" spans="1:25" s="4" customFormat="1" ht="28.8" customHeight="1" x14ac:dyDescent="0.3">
      <c r="A86" s="44" t="s">
        <v>143</v>
      </c>
      <c r="B86" s="5" t="s">
        <v>4</v>
      </c>
      <c r="C86" s="5"/>
      <c r="D86" s="44" t="s">
        <v>143</v>
      </c>
      <c r="E86" s="68" t="s">
        <v>176</v>
      </c>
      <c r="F86" s="5" t="s">
        <v>5</v>
      </c>
      <c r="I86" s="5" t="str">
        <f t="shared" ref="I86:I96" si="15">IF(LEN(A86) &gt; 0,"Defs","-")</f>
        <v>Defs</v>
      </c>
      <c r="J86" s="8" t="str">
        <f>IF(Table2[[#This Row],[!Type]]=J$1, J$1,"rg:None")</f>
        <v>rg:None</v>
      </c>
      <c r="K86" s="8" t="str">
        <f>IF(Table2[[#This Row],[!Type]]=K$1, K$1,"rg:None")</f>
        <v>rg:None</v>
      </c>
      <c r="L86" s="8" t="str">
        <f>IF(Table2[[#This Row],[!Type]]=L$1, L$1,"rg:None")</f>
        <v>rg:None</v>
      </c>
      <c r="M86" s="8" t="str">
        <f>IF(Table2[[#This Row],[!Type]]=M$1, M$1,"rg:None")</f>
        <v>rg:None</v>
      </c>
      <c r="N86" s="8" t="str">
        <f>IF(Table2[[#This Row],[!Type]]=N$1, N$1,"rg:None")</f>
        <v>rg:None</v>
      </c>
      <c r="O86" s="8" t="str">
        <f>IF(Table2[[#This Row],[!Type]]=O$1, O$1,"rg:None")</f>
        <v>rg:None</v>
      </c>
      <c r="P86" s="5" t="str">
        <f>IF(Table2[[#This Row],[!Type]]=P$1, P$1,"rg:None")</f>
        <v>rg:None</v>
      </c>
      <c r="Q86" s="5" t="str">
        <f>IF(Table2[[#This Row],[!Type]]=Q$1, Q$1,"rg:None")</f>
        <v>rg:None</v>
      </c>
      <c r="R86" s="5" t="str">
        <f>IF(Table2[[#This Row],[!Type]]=R$1, R$1,"rg:None")</f>
        <v>rg:None</v>
      </c>
      <c r="S86" s="5" t="str">
        <f>IF(Table2[[#This Row],[!Type]]=S$1, S$1,"rg:None")</f>
        <v>table</v>
      </c>
      <c r="T86" s="8" t="str">
        <f>IF(LEN(Table2[[#This Row],[!Length]]) &gt; 0, Table2[[#This Row],[!Length]], "rg:None")</f>
        <v>rg:None</v>
      </c>
      <c r="U86" s="8" t="str">
        <f>IF(LEN(Table2[[#This Row],[!Name]]) &gt; 0, Table2[[#This Row],[!Name]], "rg:None")</f>
        <v>FuelSupplierContact</v>
      </c>
      <c r="V86" s="8" t="str">
        <f>IF(LEN(Table2[[#This Row],[!Description]]) &gt; 0, Table2[[#This Row],[!Description]], "rg:None")</f>
        <v>A table of contacts related to the Fuel Suppliers in the system.</v>
      </c>
      <c r="W86" s="8" t="str">
        <f>IF(LEN(Table2[[#This Row],[!FK]])&gt;0,Table2[[#This Row],[!FK]],"rg:None")</f>
        <v>rg:None</v>
      </c>
      <c r="X86" s="8" t="str">
        <f>IF(LEN(concatif2(A:A,Table2[[#This Row],[!Table]],G:G,"Y",D:D,",")) &gt; 0,"rg:[ { 'req' : '"&amp;concatif2(A:A,Table2[[#This Row],[!Table]],G:G,"Y",D:D,"' }, { 'req': '")&amp;"'} ]","rg:[]")</f>
        <v>rg:[ { 'req' : 'id' }, { 'req': 'fuelSupplierFK'} ]</v>
      </c>
      <c r="Y86" s="8" t="str">
        <f>IF(LEN(Table2[[#This Row],[!Unique]])&gt;0,IF(Table2[[#This Row],[!Type]] = "id", "rg:None","rg:True"),"rg:None")</f>
        <v>rg:None</v>
      </c>
    </row>
    <row r="87" spans="1:25" s="4" customFormat="1" ht="28.8" x14ac:dyDescent="0.3">
      <c r="A87" s="44" t="s">
        <v>143</v>
      </c>
      <c r="B87" s="5" t="s">
        <v>6</v>
      </c>
      <c r="C87" s="5"/>
      <c r="D87" s="5" t="s">
        <v>6</v>
      </c>
      <c r="E87" s="68" t="s">
        <v>227</v>
      </c>
      <c r="F87" s="5" t="s">
        <v>5</v>
      </c>
      <c r="G87" s="4" t="s">
        <v>38</v>
      </c>
      <c r="H87" s="20" t="s">
        <v>38</v>
      </c>
      <c r="I87" s="5" t="str">
        <f t="shared" si="15"/>
        <v>Defs</v>
      </c>
      <c r="J87" s="8" t="str">
        <f>IF(Table2[[#This Row],[!Type]]=J$1, J$1,"rg:None")</f>
        <v>rg:None</v>
      </c>
      <c r="K87" s="8" t="str">
        <f>IF(Table2[[#This Row],[!Type]]=K$1, K$1,"rg:None")</f>
        <v>rg:None</v>
      </c>
      <c r="L87" s="8" t="str">
        <f>IF(Table2[[#This Row],[!Type]]=L$1, L$1,"rg:None")</f>
        <v>rg:None</v>
      </c>
      <c r="M87" s="8" t="str">
        <f>IF(Table2[[#This Row],[!Type]]=M$1, M$1,"rg:None")</f>
        <v>id</v>
      </c>
      <c r="N87" s="8" t="str">
        <f>IF(Table2[[#This Row],[!Type]]=N$1, N$1,"rg:None")</f>
        <v>rg:None</v>
      </c>
      <c r="O87" s="8" t="str">
        <f>IF(Table2[[#This Row],[!Type]]=O$1, O$1,"rg:None")</f>
        <v>rg:None</v>
      </c>
      <c r="P87" s="5" t="str">
        <f>IF(Table2[[#This Row],[!Type]]=P$1, P$1,"rg:None")</f>
        <v>rg:None</v>
      </c>
      <c r="Q87" s="5" t="str">
        <f>IF(Table2[[#This Row],[!Type]]=Q$1, Q$1,"rg:None")</f>
        <v>rg:None</v>
      </c>
      <c r="R87" s="5" t="str">
        <f>IF(Table2[[#This Row],[!Type]]=R$1, R$1,"rg:None")</f>
        <v>rg:None</v>
      </c>
      <c r="S87" s="5" t="str">
        <f>IF(Table2[[#This Row],[!Type]]=S$1, S$1,"rg:None")</f>
        <v>rg:None</v>
      </c>
      <c r="T87" s="8" t="str">
        <f>IF(LEN(Table2[[#This Row],[!Length]]) &gt; 0, Table2[[#This Row],[!Length]], "rg:None")</f>
        <v>rg:None</v>
      </c>
      <c r="U87" s="8" t="str">
        <f>IF(LEN(Table2[[#This Row],[!Name]]) &gt; 0, Table2[[#This Row],[!Name]], "rg:None")</f>
        <v>id</v>
      </c>
      <c r="V87" s="8" t="str">
        <f>IF(LEN(Table2[[#This Row],[!Description]]) &gt; 0, Table2[[#This Row],[!Description]], "rg:None")</f>
        <v>A system-generated unique identifier for a Fuel Supplier Contact.</v>
      </c>
      <c r="W87" s="8" t="str">
        <f>IF(LEN(Table2[[#This Row],[!FK]])&gt;0,Table2[[#This Row],[!FK]],"rg:None")</f>
        <v>rg:None</v>
      </c>
      <c r="X87" s="8" t="str">
        <f>IF(LEN(concatif2(A:A,Table2[[#This Row],[!Table]],G:G,"Y",D:D,",")) &gt; 0,"rg:[ { 'req' : '"&amp;concatif2(A:A,Table2[[#This Row],[!Table]],G:G,"Y",D:D,"' }, { 'req': '")&amp;"'} ]","rg:[]")</f>
        <v>rg:[ { 'req' : 'id' }, { 'req': 'fuelSupplierFK'} ]</v>
      </c>
      <c r="Y87" s="8" t="str">
        <f>IF(LEN(Table2[[#This Row],[!Unique]])&gt;0,IF(Table2[[#This Row],[!Type]] = "id", "rg:None","rg:True"),"rg:None")</f>
        <v>rg:None</v>
      </c>
    </row>
    <row r="88" spans="1:25" s="4" customFormat="1" ht="16.05" customHeight="1" x14ac:dyDescent="0.3">
      <c r="A88" s="44" t="s">
        <v>143</v>
      </c>
      <c r="B88" s="55" t="s">
        <v>8</v>
      </c>
      <c r="C88" s="5"/>
      <c r="D88" s="82" t="s">
        <v>326</v>
      </c>
      <c r="E88" s="68" t="s">
        <v>224</v>
      </c>
      <c r="F88" s="56" t="s">
        <v>127</v>
      </c>
      <c r="G88" s="57" t="s">
        <v>38</v>
      </c>
      <c r="H88" s="14"/>
      <c r="I88" s="4" t="str">
        <f>IF(LEN(A88) &gt; 0,"Defs","-")</f>
        <v>Defs</v>
      </c>
      <c r="J88" s="13" t="str">
        <f>IF(Table2[[#This Row],[!Type]]=J$1, J$1,"rg:None")</f>
        <v>rg:None</v>
      </c>
      <c r="K88" s="13" t="str">
        <f>IF(Table2[[#This Row],[!Type]]=K$1, K$1,"rg:None")</f>
        <v>rg:None</v>
      </c>
      <c r="L88" s="13" t="str">
        <f>IF(Table2[[#This Row],[!Type]]=L$1, L$1,"rg:None")</f>
        <v>rg:None</v>
      </c>
      <c r="M88" s="13" t="str">
        <f>IF(Table2[[#This Row],[!Type]]=M$1, M$1,"rg:None")</f>
        <v>rg:None</v>
      </c>
      <c r="N88" s="13" t="str">
        <f>IF(Table2[[#This Row],[!Type]]=N$1, N$1,"rg:None")</f>
        <v>rg:None</v>
      </c>
      <c r="O88" s="13" t="str">
        <f>IF(Table2[[#This Row],[!Type]]=O$1, O$1,"rg:None")</f>
        <v>rg:None</v>
      </c>
      <c r="P88" s="4" t="str">
        <f>IF(Table2[[#This Row],[!Type]]=P$1, P$1,"rg:None")</f>
        <v>rg:None</v>
      </c>
      <c r="Q88" s="4" t="str">
        <f>IF(Table2[[#This Row],[!Type]]=Q$1, Q$1,"rg:None")</f>
        <v>ref</v>
      </c>
      <c r="R88" s="4" t="str">
        <f>IF(Table2[[#This Row],[!Type]]=R$1, R$1,"rg:None")</f>
        <v>rg:None</v>
      </c>
      <c r="S88" s="4" t="str">
        <f>IF(Table2[[#This Row],[!Type]]=S$1, S$1,"rg:None")</f>
        <v>rg:None</v>
      </c>
      <c r="T88" s="13" t="str">
        <f>IF(LEN(Table2[[#This Row],[!Length]]) &gt; 0, Table2[[#This Row],[!Length]], "rg:None")</f>
        <v>rg:None</v>
      </c>
      <c r="U88" s="13" t="str">
        <f>IF(LEN(Table2[[#This Row],[!Name]]) &gt; 0, Table2[[#This Row],[!Name]], "rg:None")</f>
        <v>fuelSupplierFK</v>
      </c>
      <c r="V88" s="13" t="str">
        <f>IF(LEN(Table2[[#This Row],[!Description]]) &gt; 0, Table2[[#This Row],[!Description]], "rg:None")</f>
        <v>A foreign key reference to a FuelSupplier.</v>
      </c>
      <c r="W88" s="13" t="str">
        <f>IF(LEN(Table2[[#This Row],[!FK]])&gt;0,Table2[[#This Row],[!FK]],"rg:None")</f>
        <v>FuelSupplier</v>
      </c>
      <c r="X88" s="13" t="str">
        <f>IF(LEN(concatif2(A:A,Table2[[#This Row],[!Table]],G:G,"Y",D:D,",")) &gt; 0,"rg:[ { 'req' : '"&amp;concatif2(A:A,Table2[[#This Row],[!Table]],G:G,"Y",D:D,"' }, { 'req': '")&amp;"'} ]","rg:[]")</f>
        <v>rg:[ { 'req' : 'id' }, { 'req': 'fuelSupplierFK'} ]</v>
      </c>
      <c r="Y88" s="13" t="str">
        <f>IF(LEN(Table2[[#This Row],[!Unique]])&gt;0,IF(Table2[[#This Row],[!Type]] = "id", "rg:None","rg:True"),"rg:None")</f>
        <v>rg:None</v>
      </c>
    </row>
    <row r="89" spans="1:25" s="4" customFormat="1" ht="16.05" customHeight="1" x14ac:dyDescent="0.3">
      <c r="A89" s="44" t="s">
        <v>143</v>
      </c>
      <c r="B89" s="5" t="s">
        <v>7</v>
      </c>
      <c r="C89" s="5">
        <v>100</v>
      </c>
      <c r="D89" s="5" t="s">
        <v>15</v>
      </c>
      <c r="E89" s="68" t="s">
        <v>16</v>
      </c>
      <c r="F89" s="5" t="s">
        <v>5</v>
      </c>
      <c r="G89" s="20"/>
      <c r="I89" s="5" t="str">
        <f t="shared" si="15"/>
        <v>Defs</v>
      </c>
      <c r="J89" s="8" t="str">
        <f>IF(Table2[[#This Row],[!Type]]=J$1, J$1,"rg:None")</f>
        <v>rg:None</v>
      </c>
      <c r="K89" s="8" t="str">
        <f>IF(Table2[[#This Row],[!Type]]=K$1, K$1,"rg:None")</f>
        <v>rg:None</v>
      </c>
      <c r="L89" s="8" t="str">
        <f>IF(Table2[[#This Row],[!Type]]=L$1, L$1,"rg:None")</f>
        <v>rg:None</v>
      </c>
      <c r="M89" s="8" t="str">
        <f>IF(Table2[[#This Row],[!Type]]=M$1, M$1,"rg:None")</f>
        <v>rg:None</v>
      </c>
      <c r="N89" s="8" t="str">
        <f>IF(Table2[[#This Row],[!Type]]=N$1, N$1,"rg:None")</f>
        <v>rg:None</v>
      </c>
      <c r="O89" s="8" t="str">
        <f>IF(Table2[[#This Row],[!Type]]=O$1, O$1,"rg:None")</f>
        <v>rg:None</v>
      </c>
      <c r="P89" s="5" t="str">
        <f>IF(Table2[[#This Row],[!Type]]=P$1, P$1,"rg:None")</f>
        <v>rg:None</v>
      </c>
      <c r="Q89" s="5" t="str">
        <f>IF(Table2[[#This Row],[!Type]]=Q$1, Q$1,"rg:None")</f>
        <v>rg:None</v>
      </c>
      <c r="R89" s="5" t="str">
        <f>IF(Table2[[#This Row],[!Type]]=R$1, R$1,"rg:None")</f>
        <v>string</v>
      </c>
      <c r="S89" s="5" t="str">
        <f>IF(Table2[[#This Row],[!Type]]=S$1, S$1,"rg:None")</f>
        <v>rg:None</v>
      </c>
      <c r="T89" s="8">
        <f>IF(LEN(Table2[[#This Row],[!Length]]) &gt; 0, Table2[[#This Row],[!Length]], "rg:None")</f>
        <v>100</v>
      </c>
      <c r="U89" s="8" t="str">
        <f>IF(LEN(Table2[[#This Row],[!Name]]) &gt; 0, Table2[[#This Row],[!Name]], "rg:None")</f>
        <v>givenName</v>
      </c>
      <c r="V89" s="8" t="str">
        <f>IF(LEN(Table2[[#This Row],[!Description]]) &gt; 0, Table2[[#This Row],[!Description]], "rg:None")</f>
        <v>The given name of the contact.</v>
      </c>
      <c r="W89" s="8" t="str">
        <f>IF(LEN(Table2[[#This Row],[!FK]])&gt;0,Table2[[#This Row],[!FK]],"rg:None")</f>
        <v>rg:None</v>
      </c>
      <c r="X89" s="8" t="str">
        <f>IF(LEN(concatif2(A:A,Table2[[#This Row],[!Table]],G:G,"Y",D:D,",")) &gt; 0,"rg:[ { 'req' : '"&amp;concatif2(A:A,Table2[[#This Row],[!Table]],G:G,"Y",D:D,"' }, { 'req': '")&amp;"'} ]","rg:[]")</f>
        <v>rg:[ { 'req' : 'id' }, { 'req': 'fuelSupplierFK'} ]</v>
      </c>
      <c r="Y89" s="8" t="str">
        <f>IF(LEN(Table2[[#This Row],[!Unique]])&gt;0,IF(Table2[[#This Row],[!Type]] = "id", "rg:None","rg:True"),"rg:None")</f>
        <v>rg:None</v>
      </c>
    </row>
    <row r="90" spans="1:25" s="4" customFormat="1" ht="16.05" customHeight="1" x14ac:dyDescent="0.3">
      <c r="A90" s="44" t="s">
        <v>143</v>
      </c>
      <c r="B90" s="5" t="s">
        <v>7</v>
      </c>
      <c r="C90" s="5">
        <v>100</v>
      </c>
      <c r="D90" s="5" t="s">
        <v>17</v>
      </c>
      <c r="E90" s="68" t="s">
        <v>18</v>
      </c>
      <c r="F90" s="5" t="s">
        <v>5</v>
      </c>
      <c r="G90" s="20"/>
      <c r="I90" s="5" t="str">
        <f t="shared" si="15"/>
        <v>Defs</v>
      </c>
      <c r="J90" s="8" t="str">
        <f>IF(Table2[[#This Row],[!Type]]=J$1, J$1,"rg:None")</f>
        <v>rg:None</v>
      </c>
      <c r="K90" s="8" t="str">
        <f>IF(Table2[[#This Row],[!Type]]=K$1, K$1,"rg:None")</f>
        <v>rg:None</v>
      </c>
      <c r="L90" s="8" t="str">
        <f>IF(Table2[[#This Row],[!Type]]=L$1, L$1,"rg:None")</f>
        <v>rg:None</v>
      </c>
      <c r="M90" s="8" t="str">
        <f>IF(Table2[[#This Row],[!Type]]=M$1, M$1,"rg:None")</f>
        <v>rg:None</v>
      </c>
      <c r="N90" s="8" t="str">
        <f>IF(Table2[[#This Row],[!Type]]=N$1, N$1,"rg:None")</f>
        <v>rg:None</v>
      </c>
      <c r="O90" s="8" t="str">
        <f>IF(Table2[[#This Row],[!Type]]=O$1, O$1,"rg:None")</f>
        <v>rg:None</v>
      </c>
      <c r="P90" s="5" t="str">
        <f>IF(Table2[[#This Row],[!Type]]=P$1, P$1,"rg:None")</f>
        <v>rg:None</v>
      </c>
      <c r="Q90" s="5" t="str">
        <f>IF(Table2[[#This Row],[!Type]]=Q$1, Q$1,"rg:None")</f>
        <v>rg:None</v>
      </c>
      <c r="R90" s="5" t="str">
        <f>IF(Table2[[#This Row],[!Type]]=R$1, R$1,"rg:None")</f>
        <v>string</v>
      </c>
      <c r="S90" s="5" t="str">
        <f>IF(Table2[[#This Row],[!Type]]=S$1, S$1,"rg:None")</f>
        <v>rg:None</v>
      </c>
      <c r="T90" s="8">
        <f>IF(LEN(Table2[[#This Row],[!Length]]) &gt; 0, Table2[[#This Row],[!Length]], "rg:None")</f>
        <v>100</v>
      </c>
      <c r="U90" s="8" t="str">
        <f>IF(LEN(Table2[[#This Row],[!Name]]) &gt; 0, Table2[[#This Row],[!Name]], "rg:None")</f>
        <v>surname</v>
      </c>
      <c r="V90" s="8" t="str">
        <f>IF(LEN(Table2[[#This Row],[!Description]]) &gt; 0, Table2[[#This Row],[!Description]], "rg:None")</f>
        <v>The surname of the contact.</v>
      </c>
      <c r="W90" s="8" t="str">
        <f>IF(LEN(Table2[[#This Row],[!FK]])&gt;0,Table2[[#This Row],[!FK]],"rg:None")</f>
        <v>rg:None</v>
      </c>
      <c r="X90" s="8" t="str">
        <f>IF(LEN(concatif2(A:A,Table2[[#This Row],[!Table]],G:G,"Y",D:D,",")) &gt; 0,"rg:[ { 'req' : '"&amp;concatif2(A:A,Table2[[#This Row],[!Table]],G:G,"Y",D:D,"' }, { 'req': '")&amp;"'} ]","rg:[]")</f>
        <v>rg:[ { 'req' : 'id' }, { 'req': 'fuelSupplierFK'} ]</v>
      </c>
      <c r="Y90" s="8" t="str">
        <f>IF(LEN(Table2[[#This Row],[!Unique]])&gt;0,IF(Table2[[#This Row],[!Type]] = "id", "rg:None","rg:True"),"rg:None")</f>
        <v>rg:None</v>
      </c>
    </row>
    <row r="91" spans="1:25" s="4" customFormat="1" ht="16.05" customHeight="1" x14ac:dyDescent="0.3">
      <c r="A91" s="44" t="s">
        <v>143</v>
      </c>
      <c r="B91" s="5" t="s">
        <v>7</v>
      </c>
      <c r="C91" s="5">
        <v>150</v>
      </c>
      <c r="D91" s="44" t="s">
        <v>144</v>
      </c>
      <c r="E91" s="68" t="s">
        <v>145</v>
      </c>
      <c r="F91" s="5" t="s">
        <v>5</v>
      </c>
      <c r="G91" s="20"/>
      <c r="I91" s="5" t="str">
        <f t="shared" si="15"/>
        <v>Defs</v>
      </c>
      <c r="J91" s="8" t="str">
        <f>IF(Table2[[#This Row],[!Type]]=J$1, J$1,"rg:None")</f>
        <v>rg:None</v>
      </c>
      <c r="K91" s="8" t="str">
        <f>IF(Table2[[#This Row],[!Type]]=K$1, K$1,"rg:None")</f>
        <v>rg:None</v>
      </c>
      <c r="L91" s="8" t="str">
        <f>IF(Table2[[#This Row],[!Type]]=L$1, L$1,"rg:None")</f>
        <v>rg:None</v>
      </c>
      <c r="M91" s="8" t="str">
        <f>IF(Table2[[#This Row],[!Type]]=M$1, M$1,"rg:None")</f>
        <v>rg:None</v>
      </c>
      <c r="N91" s="8" t="str">
        <f>IF(Table2[[#This Row],[!Type]]=N$1, N$1,"rg:None")</f>
        <v>rg:None</v>
      </c>
      <c r="O91" s="8" t="str">
        <f>IF(Table2[[#This Row],[!Type]]=O$1, O$1,"rg:None")</f>
        <v>rg:None</v>
      </c>
      <c r="P91" s="5" t="str">
        <f>IF(Table2[[#This Row],[!Type]]=P$1, P$1,"rg:None")</f>
        <v>rg:None</v>
      </c>
      <c r="Q91" s="5" t="str">
        <f>IF(Table2[[#This Row],[!Type]]=Q$1, Q$1,"rg:None")</f>
        <v>rg:None</v>
      </c>
      <c r="R91" s="5" t="str">
        <f>IF(Table2[[#This Row],[!Type]]=R$1, R$1,"rg:None")</f>
        <v>string</v>
      </c>
      <c r="S91" s="5" t="str">
        <f>IF(Table2[[#This Row],[!Type]]=S$1, S$1,"rg:None")</f>
        <v>rg:None</v>
      </c>
      <c r="T91" s="8">
        <f>IF(LEN(Table2[[#This Row],[!Length]]) &gt; 0, Table2[[#This Row],[!Length]], "rg:None")</f>
        <v>150</v>
      </c>
      <c r="U91" s="8" t="str">
        <f>IF(LEN(Table2[[#This Row],[!Name]]) &gt; 0, Table2[[#This Row],[!Name]], "rg:None")</f>
        <v>title</v>
      </c>
      <c r="V91" s="8" t="str">
        <f>IF(LEN(Table2[[#This Row],[!Description]]) &gt; 0, Table2[[#This Row],[!Description]], "rg:None")</f>
        <v>The title of the contact within their organization.</v>
      </c>
      <c r="W91" s="8" t="str">
        <f>IF(LEN(Table2[[#This Row],[!FK]])&gt;0,Table2[[#This Row],[!FK]],"rg:None")</f>
        <v>rg:None</v>
      </c>
      <c r="X91" s="8" t="str">
        <f>IF(LEN(concatif2(A:A,Table2[[#This Row],[!Table]],G:G,"Y",D:D,",")) &gt; 0,"rg:[ { 'req' : '"&amp;concatif2(A:A,Table2[[#This Row],[!Table]],G:G,"Y",D:D,"' }, { 'req': '")&amp;"'} ]","rg:[]")</f>
        <v>rg:[ { 'req' : 'id' }, { 'req': 'fuelSupplierFK'} ]</v>
      </c>
      <c r="Y91" s="8" t="str">
        <f>IF(LEN(Table2[[#This Row],[!Unique]])&gt;0,IF(Table2[[#This Row],[!Type]] = "id", "rg:None","rg:True"),"rg:None")</f>
        <v>rg:None</v>
      </c>
    </row>
    <row r="92" spans="1:25" s="4" customFormat="1" ht="16.05" customHeight="1" x14ac:dyDescent="0.3">
      <c r="A92" s="44" t="s">
        <v>143</v>
      </c>
      <c r="B92" s="44" t="s">
        <v>8</v>
      </c>
      <c r="C92" s="5"/>
      <c r="D92" s="82" t="s">
        <v>325</v>
      </c>
      <c r="E92" s="68" t="s">
        <v>228</v>
      </c>
      <c r="F92" s="50" t="s">
        <v>0</v>
      </c>
      <c r="I92" s="4" t="str">
        <f t="shared" si="15"/>
        <v>Defs</v>
      </c>
      <c r="J92" s="13" t="str">
        <f>IF(Table2[[#This Row],[!Type]]=J$1, J$1,"rg:None")</f>
        <v>rg:None</v>
      </c>
      <c r="K92" s="13" t="str">
        <f>IF(Table2[[#This Row],[!Type]]=K$1, K$1,"rg:None")</f>
        <v>rg:None</v>
      </c>
      <c r="L92" s="13" t="str">
        <f>IF(Table2[[#This Row],[!Type]]=L$1, L$1,"rg:None")</f>
        <v>rg:None</v>
      </c>
      <c r="M92" s="13" t="str">
        <f>IF(Table2[[#This Row],[!Type]]=M$1, M$1,"rg:None")</f>
        <v>rg:None</v>
      </c>
      <c r="N92" s="13" t="str">
        <f>IF(Table2[[#This Row],[!Type]]=N$1, N$1,"rg:None")</f>
        <v>rg:None</v>
      </c>
      <c r="O92" s="13"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13" t="str">
        <f>IF(LEN(Table2[[#This Row],[!Length]]) &gt; 0, Table2[[#This Row],[!Length]], "rg:None")</f>
        <v>rg:None</v>
      </c>
      <c r="U92" s="13" t="str">
        <f>IF(LEN(Table2[[#This Row],[!Name]]) &gt; 0, Table2[[#This Row],[!Name]], "rg:None")</f>
        <v>userFK</v>
      </c>
      <c r="V92" s="13" t="str">
        <f>IF(LEN(Table2[[#This Row],[!Description]]) &gt; 0, Table2[[#This Row],[!Description]], "rg:None")</f>
        <v>A foreign key reference to a User.</v>
      </c>
      <c r="W92" s="13" t="str">
        <f>IF(LEN(Table2[[#This Row],[!FK]])&gt;0,Table2[[#This Row],[!FK]],"rg:None")</f>
        <v>User</v>
      </c>
      <c r="X92" s="13" t="str">
        <f>IF(LEN(concatif2(A:A,Table2[[#This Row],[!Table]],G:G,"Y",D:D,",")) &gt; 0,"rg:[ { 'req' : '"&amp;concatif2(A:A,Table2[[#This Row],[!Table]],G:G,"Y",D:D,"' }, { 'req': '")&amp;"'} ]","rg:[]")</f>
        <v>rg:[ { 'req' : 'id' }, { 'req': 'fuelSupplierFK'} ]</v>
      </c>
      <c r="Y92" s="13" t="str">
        <f>IF(LEN(Table2[[#This Row],[!Unique]])&gt;0,IF(Table2[[#This Row],[!Type]] = "id", "rg:None","rg:True"),"rg:None")</f>
        <v>rg:None</v>
      </c>
    </row>
    <row r="93" spans="1:25" s="4" customFormat="1" ht="16.05" customHeight="1" x14ac:dyDescent="0.3">
      <c r="A93" s="44" t="s">
        <v>143</v>
      </c>
      <c r="B93" s="5" t="s">
        <v>7</v>
      </c>
      <c r="C93" s="5">
        <v>4000</v>
      </c>
      <c r="D93" s="5" t="s">
        <v>19</v>
      </c>
      <c r="E93" s="68" t="s">
        <v>78</v>
      </c>
      <c r="F93" s="5" t="s">
        <v>5</v>
      </c>
      <c r="I93" s="5" t="str">
        <f t="shared" si="15"/>
        <v>Defs</v>
      </c>
      <c r="J93" s="8" t="str">
        <f>IF(Table2[[#This Row],[!Type]]=J$1, J$1,"rg:None")</f>
        <v>rg:None</v>
      </c>
      <c r="K93" s="8" t="str">
        <f>IF(Table2[[#This Row],[!Type]]=K$1, K$1,"rg:None")</f>
        <v>rg:None</v>
      </c>
      <c r="L93" s="8" t="str">
        <f>IF(Table2[[#This Row],[!Type]]=L$1, L$1,"rg:None")</f>
        <v>rg:None</v>
      </c>
      <c r="M93" s="8" t="str">
        <f>IF(Table2[[#This Row],[!Type]]=M$1, M$1,"rg:None")</f>
        <v>rg:None</v>
      </c>
      <c r="N93" s="8" t="str">
        <f>IF(Table2[[#This Row],[!Type]]=N$1, N$1,"rg:None")</f>
        <v>rg:None</v>
      </c>
      <c r="O93" s="8" t="str">
        <f>IF(Table2[[#This Row],[!Type]]=O$1, O$1,"rg:None")</f>
        <v>rg:None</v>
      </c>
      <c r="P93" s="5" t="str">
        <f>IF(Table2[[#This Row],[!Type]]=P$1, P$1,"rg:None")</f>
        <v>rg:None</v>
      </c>
      <c r="Q93" s="5" t="str">
        <f>IF(Table2[[#This Row],[!Type]]=Q$1, Q$1,"rg:None")</f>
        <v>rg:None</v>
      </c>
      <c r="R93" s="5" t="str">
        <f>IF(Table2[[#This Row],[!Type]]=R$1, R$1,"rg:None")</f>
        <v>string</v>
      </c>
      <c r="S93" s="5" t="str">
        <f>IF(Table2[[#This Row],[!Type]]=S$1, S$1,"rg:None")</f>
        <v>rg:None</v>
      </c>
      <c r="T93" s="8">
        <f>IF(LEN(Table2[[#This Row],[!Length]]) &gt; 0, Table2[[#This Row],[!Length]], "rg:None")</f>
        <v>4000</v>
      </c>
      <c r="U93" s="8" t="str">
        <f>IF(LEN(Table2[[#This Row],[!Name]]) &gt; 0, Table2[[#This Row],[!Name]], "rg:None")</f>
        <v>notes</v>
      </c>
      <c r="V93" s="8" t="str">
        <f>IF(LEN(Table2[[#This Row],[!Description]]) &gt; 0, Table2[[#This Row],[!Description]], "rg:None")</f>
        <v>A note about the contact maintained by the users.</v>
      </c>
      <c r="W93" s="8" t="str">
        <f>IF(LEN(Table2[[#This Row],[!FK]])&gt;0,Table2[[#This Row],[!FK]],"rg:None")</f>
        <v>rg:None</v>
      </c>
      <c r="X93" s="8" t="str">
        <f>IF(LEN(concatif2(A:A,Table2[[#This Row],[!Table]],G:G,"Y",D:D,",")) &gt; 0,"rg:[ { 'req' : '"&amp;concatif2(A:A,Table2[[#This Row],[!Table]],G:G,"Y",D:D,"' }, { 'req': '")&amp;"'} ]","rg:[]")</f>
        <v>rg:[ { 'req' : 'id' }, { 'req': 'fuelSupplierFK'} ]</v>
      </c>
      <c r="Y93" s="8" t="str">
        <f>IF(LEN(Table2[[#This Row],[!Unique]])&gt;0,IF(Table2[[#This Row],[!Type]] = "id", "rg:None","rg:True"),"rg:None")</f>
        <v>rg:None</v>
      </c>
    </row>
    <row r="94" spans="1:25" s="4" customFormat="1" ht="16.05" customHeight="1" x14ac:dyDescent="0.3">
      <c r="A94" s="44" t="s">
        <v>143</v>
      </c>
      <c r="B94" s="24" t="s">
        <v>7</v>
      </c>
      <c r="C94" s="5">
        <v>150</v>
      </c>
      <c r="D94" s="24" t="s">
        <v>101</v>
      </c>
      <c r="E94" s="68" t="s">
        <v>102</v>
      </c>
      <c r="F94" s="6"/>
      <c r="G94" s="14"/>
      <c r="H94" s="14"/>
      <c r="I94" s="4" t="str">
        <f t="shared" si="15"/>
        <v>Defs</v>
      </c>
      <c r="J94" s="13" t="str">
        <f>IF(Table2[[#This Row],[!Type]]=J$1, J$1,"rg:None")</f>
        <v>rg:None</v>
      </c>
      <c r="K94" s="13" t="str">
        <f>IF(Table2[[#This Row],[!Type]]=K$1, K$1,"rg:None")</f>
        <v>rg:None</v>
      </c>
      <c r="L94" s="13" t="str">
        <f>IF(Table2[[#This Row],[!Type]]=L$1, L$1,"rg:None")</f>
        <v>rg:None</v>
      </c>
      <c r="M94" s="13" t="str">
        <f>IF(Table2[[#This Row],[!Type]]=M$1, M$1,"rg:None")</f>
        <v>rg:None</v>
      </c>
      <c r="N94" s="13" t="str">
        <f>IF(Table2[[#This Row],[!Type]]=N$1, N$1,"rg:None")</f>
        <v>rg:None</v>
      </c>
      <c r="O94" s="13"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13">
        <f>IF(LEN(Table2[[#This Row],[!Length]]) &gt; 0, Table2[[#This Row],[!Length]], "rg:None")</f>
        <v>150</v>
      </c>
      <c r="U94" s="13" t="str">
        <f>IF(LEN(Table2[[#This Row],[!Name]]) &gt; 0, Table2[[#This Row],[!Name]], "rg:None")</f>
        <v>emailAddress</v>
      </c>
      <c r="V94" s="13" t="str">
        <f>IF(LEN(Table2[[#This Row],[!Description]]) &gt; 0, Table2[[#This Row],[!Description]], "rg:None")</f>
        <v>The email address for the contact.</v>
      </c>
      <c r="W94" s="13" t="str">
        <f>IF(LEN(Table2[[#This Row],[!FK]])&gt;0,Table2[[#This Row],[!FK]],"rg:None")</f>
        <v>rg:None</v>
      </c>
      <c r="X94" s="13" t="str">
        <f>IF(LEN(concatif2(A:A,Table2[[#This Row],[!Table]],G:G,"Y",D:D,",")) &gt; 0,"rg:[ { 'req' : '"&amp;concatif2(A:A,Table2[[#This Row],[!Table]],G:G,"Y",D:D,"' }, { 'req': '")&amp;"'} ]","rg:[]")</f>
        <v>rg:[ { 'req' : 'id' }, { 'req': 'fuelSupplierFK'} ]</v>
      </c>
      <c r="Y94" s="13" t="str">
        <f>IF(LEN(Table2[[#This Row],[!Unique]])&gt;0,IF(Table2[[#This Row],[!Type]] = "id", "rg:None","rg:True"),"rg:None")</f>
        <v>rg:None</v>
      </c>
    </row>
    <row r="95" spans="1:25" s="4" customFormat="1" ht="16.05" customHeight="1" x14ac:dyDescent="0.3">
      <c r="A95" s="44" t="s">
        <v>143</v>
      </c>
      <c r="B95" s="5" t="s">
        <v>7</v>
      </c>
      <c r="C95" s="5">
        <v>25</v>
      </c>
      <c r="D95" s="24" t="s">
        <v>99</v>
      </c>
      <c r="E95" s="68" t="s">
        <v>103</v>
      </c>
      <c r="F95" s="5" t="s">
        <v>5</v>
      </c>
      <c r="G95" s="20"/>
      <c r="I95" s="5" t="str">
        <f t="shared" si="15"/>
        <v>Defs</v>
      </c>
      <c r="J95" s="8" t="str">
        <f>IF(Table2[[#This Row],[!Type]]=J$1, J$1,"rg:None")</f>
        <v>rg:None</v>
      </c>
      <c r="K95" s="8" t="str">
        <f>IF(Table2[[#This Row],[!Type]]=K$1, K$1,"rg:None")</f>
        <v>rg:None</v>
      </c>
      <c r="L95" s="8" t="str">
        <f>IF(Table2[[#This Row],[!Type]]=L$1, L$1,"rg:None")</f>
        <v>rg:None</v>
      </c>
      <c r="M95" s="8" t="str">
        <f>IF(Table2[[#This Row],[!Type]]=M$1, M$1,"rg:None")</f>
        <v>rg:None</v>
      </c>
      <c r="N95" s="8" t="str">
        <f>IF(Table2[[#This Row],[!Type]]=N$1, N$1,"rg:None")</f>
        <v>rg:None</v>
      </c>
      <c r="O95" s="8"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8">
        <f>IF(LEN(Table2[[#This Row],[!Length]]) &gt; 0, Table2[[#This Row],[!Length]], "rg:None")</f>
        <v>25</v>
      </c>
      <c r="U95" s="8" t="str">
        <f>IF(LEN(Table2[[#This Row],[!Name]]) &gt; 0, Table2[[#This Row],[!Name]], "rg:None")</f>
        <v>workPhoneNumber</v>
      </c>
      <c r="V95" s="8" t="str">
        <f>IF(LEN(Table2[[#This Row],[!Description]]) &gt; 0, Table2[[#This Row],[!Description]], "rg:None")</f>
        <v>The work phone number for the contact.</v>
      </c>
      <c r="W95" s="8" t="str">
        <f>IF(LEN(Table2[[#This Row],[!FK]])&gt;0,Table2[[#This Row],[!FK]],"rg:None")</f>
        <v>rg:None</v>
      </c>
      <c r="X95" s="8" t="str">
        <f>IF(LEN(concatif2(A:A,Table2[[#This Row],[!Table]],G:G,"Y",D:D,",")) &gt; 0,"rg:[ { 'req' : '"&amp;concatif2(A:A,Table2[[#This Row],[!Table]],G:G,"Y",D:D,"' }, { 'req': '")&amp;"'} ]","rg:[]")</f>
        <v>rg:[ { 'req' : 'id' }, { 'req': 'fuelSupplierFK'} ]</v>
      </c>
      <c r="Y95" s="8" t="str">
        <f>IF(LEN(Table2[[#This Row],[!Unique]])&gt;0,IF(Table2[[#This Row],[!Type]] = "id", "rg:None","rg:True"),"rg:None")</f>
        <v>rg:None</v>
      </c>
    </row>
    <row r="96" spans="1:25" s="4" customFormat="1" ht="16.05" customHeight="1" x14ac:dyDescent="0.3">
      <c r="A96" s="44" t="s">
        <v>143</v>
      </c>
      <c r="B96" s="5" t="s">
        <v>7</v>
      </c>
      <c r="C96" s="5">
        <v>25</v>
      </c>
      <c r="D96" s="24" t="s">
        <v>100</v>
      </c>
      <c r="E96" s="68" t="s">
        <v>104</v>
      </c>
      <c r="F96" s="5" t="s">
        <v>5</v>
      </c>
      <c r="G96" s="20"/>
      <c r="I96" s="5" t="str">
        <f t="shared" si="15"/>
        <v>Defs</v>
      </c>
      <c r="J96" s="8" t="str">
        <f>IF(Table2[[#This Row],[!Type]]=J$1, J$1,"rg:None")</f>
        <v>rg:None</v>
      </c>
      <c r="K96" s="8" t="str">
        <f>IF(Table2[[#This Row],[!Type]]=K$1, K$1,"rg:None")</f>
        <v>rg:None</v>
      </c>
      <c r="L96" s="8" t="str">
        <f>IF(Table2[[#This Row],[!Type]]=L$1, L$1,"rg:None")</f>
        <v>rg:None</v>
      </c>
      <c r="M96" s="8" t="str">
        <f>IF(Table2[[#This Row],[!Type]]=M$1, M$1,"rg:None")</f>
        <v>rg:None</v>
      </c>
      <c r="N96" s="8" t="str">
        <f>IF(Table2[[#This Row],[!Type]]=N$1, N$1,"rg:None")</f>
        <v>rg:None</v>
      </c>
      <c r="O96" s="8" t="str">
        <f>IF(Table2[[#This Row],[!Type]]=O$1, O$1,"rg:None")</f>
        <v>rg:None</v>
      </c>
      <c r="P96" s="5" t="str">
        <f>IF(Table2[[#This Row],[!Type]]=P$1, P$1,"rg:None")</f>
        <v>rg:None</v>
      </c>
      <c r="Q96" s="5" t="str">
        <f>IF(Table2[[#This Row],[!Type]]=Q$1, Q$1,"rg:None")</f>
        <v>rg:None</v>
      </c>
      <c r="R96" s="5" t="str">
        <f>IF(Table2[[#This Row],[!Type]]=R$1, R$1,"rg:None")</f>
        <v>string</v>
      </c>
      <c r="S96" s="5" t="str">
        <f>IF(Table2[[#This Row],[!Type]]=S$1, S$1,"rg:None")</f>
        <v>rg:None</v>
      </c>
      <c r="T96" s="8">
        <f>IF(LEN(Table2[[#This Row],[!Length]]) &gt; 0, Table2[[#This Row],[!Length]], "rg:None")</f>
        <v>25</v>
      </c>
      <c r="U96" s="8" t="str">
        <f>IF(LEN(Table2[[#This Row],[!Name]]) &gt; 0, Table2[[#This Row],[!Name]], "rg:None")</f>
        <v>mobilePhoneNumber</v>
      </c>
      <c r="V96" s="8" t="str">
        <f>IF(LEN(Table2[[#This Row],[!Description]]) &gt; 0, Table2[[#This Row],[!Description]], "rg:None")</f>
        <v>The mobile phone number for the contact.</v>
      </c>
      <c r="W96" s="8" t="str">
        <f>IF(LEN(Table2[[#This Row],[!FK]])&gt;0,Table2[[#This Row],[!FK]],"rg:None")</f>
        <v>rg:None</v>
      </c>
      <c r="X96" s="8" t="str">
        <f>IF(LEN(concatif2(A:A,Table2[[#This Row],[!Table]],G:G,"Y",D:D,",")) &gt; 0,"rg:[ { 'req' : '"&amp;concatif2(A:A,Table2[[#This Row],[!Table]],G:G,"Y",D:D,"' }, { 'req': '")&amp;"'} ]","rg:[]")</f>
        <v>rg:[ { 'req' : 'id' }, { 'req': 'fuelSupplierFK'} ]</v>
      </c>
      <c r="Y96" s="8" t="str">
        <f>IF(LEN(Table2[[#This Row],[!Unique]])&gt;0,IF(Table2[[#This Row],[!Type]] = "id", "rg:None","rg:True"),"rg:None")</f>
        <v>rg:None</v>
      </c>
    </row>
    <row r="97" spans="1:25" s="4" customFormat="1" ht="16.05" customHeight="1" x14ac:dyDescent="0.3">
      <c r="A97" s="44" t="s">
        <v>148</v>
      </c>
      <c r="B97" s="5" t="s">
        <v>4</v>
      </c>
      <c r="C97" s="5"/>
      <c r="D97" s="44" t="s">
        <v>148</v>
      </c>
      <c r="E97" s="68" t="s">
        <v>229</v>
      </c>
      <c r="F97" s="5" t="s">
        <v>5</v>
      </c>
      <c r="I97" s="4" t="str">
        <f t="shared" ref="I97:I111" si="16">IF(LEN(A97) &gt; 0,"Defs","-")</f>
        <v>Defs</v>
      </c>
      <c r="J97" s="13" t="str">
        <f>IF(Table2[[#This Row],[!Type]]=J$1, J$1,"rg:None")</f>
        <v>rg:None</v>
      </c>
      <c r="K97" s="13" t="str">
        <f>IF(Table2[[#This Row],[!Type]]=K$1, K$1,"rg:None")</f>
        <v>rg:None</v>
      </c>
      <c r="L97" s="13" t="str">
        <f>IF(Table2[[#This Row],[!Type]]=L$1, L$1,"rg:None")</f>
        <v>rg:None</v>
      </c>
      <c r="M97" s="13" t="str">
        <f>IF(Table2[[#This Row],[!Type]]=M$1, M$1,"rg:None")</f>
        <v>rg:None</v>
      </c>
      <c r="N97" s="13" t="str">
        <f>IF(Table2[[#This Row],[!Type]]=N$1, N$1,"rg:None")</f>
        <v>rg:None</v>
      </c>
      <c r="O97" s="13"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table</v>
      </c>
      <c r="T97" s="13" t="str">
        <f>IF(LEN(Table2[[#This Row],[!Length]]) &gt; 0, Table2[[#This Row],[!Length]], "rg:None")</f>
        <v>rg:None</v>
      </c>
      <c r="U97" s="13" t="str">
        <f>IF(LEN(Table2[[#This Row],[!Name]]) &gt; 0, Table2[[#This Row],[!Name]], "rg:None")</f>
        <v>FuelSupplierAttachment</v>
      </c>
      <c r="V97" s="13" t="str">
        <f>IF(LEN(Table2[[#This Row],[!Description]]) &gt; 0, Table2[[#This Row],[!Description]], "rg:None")</f>
        <v>Attachments uploaded by users about Fuel Supplier.</v>
      </c>
      <c r="W97" s="13" t="str">
        <f>IF(LEN(Table2[[#This Row],[!FK]])&gt;0,Table2[[#This Row],[!FK]],"rg:None")</f>
        <v>rg:None</v>
      </c>
      <c r="X97" s="13" t="str">
        <f>IF(LEN(concatif2(A:A,Table2[[#This Row],[!Table]],G:G,"Y",D:D,",")) &gt; 0,"rg:[ { 'req' : '"&amp;concatif2(A:A,Table2[[#This Row],[!Table]],G:G,"Y",D:D,"' }, { 'req': '")&amp;"'} ]","rg:[]")</f>
        <v>rg:[ { 'req' : 'id' }, { 'req': 'fuelSupplierFK'} ]</v>
      </c>
      <c r="Y97" s="13" t="str">
        <f>IF(LEN(Table2[[#This Row],[!Unique]])&gt;0,IF(Table2[[#This Row],[!Type]] = "id", "rg:None","rg:True"),"rg:None")</f>
        <v>rg:None</v>
      </c>
    </row>
    <row r="98" spans="1:25" s="4" customFormat="1" ht="28.8" x14ac:dyDescent="0.3">
      <c r="A98" s="44" t="s">
        <v>148</v>
      </c>
      <c r="B98" s="5" t="s">
        <v>6</v>
      </c>
      <c r="C98" s="5"/>
      <c r="D98" s="5" t="s">
        <v>6</v>
      </c>
      <c r="E98" s="68" t="s">
        <v>230</v>
      </c>
      <c r="F98" s="5" t="s">
        <v>5</v>
      </c>
      <c r="G98" s="4" t="s">
        <v>38</v>
      </c>
      <c r="H98" s="20" t="s">
        <v>38</v>
      </c>
      <c r="I98" s="4" t="str">
        <f t="shared" si="16"/>
        <v>Defs</v>
      </c>
      <c r="J98" s="13" t="str">
        <f>IF(Table2[[#This Row],[!Type]]=J$1, J$1,"rg:None")</f>
        <v>rg:None</v>
      </c>
      <c r="K98" s="13" t="str">
        <f>IF(Table2[[#This Row],[!Type]]=K$1, K$1,"rg:None")</f>
        <v>rg:None</v>
      </c>
      <c r="L98" s="13" t="str">
        <f>IF(Table2[[#This Row],[!Type]]=L$1, L$1,"rg:None")</f>
        <v>rg:None</v>
      </c>
      <c r="M98" s="13" t="str">
        <f>IF(Table2[[#This Row],[!Type]]=M$1, M$1,"rg:None")</f>
        <v>id</v>
      </c>
      <c r="N98" s="13" t="str">
        <f>IF(Table2[[#This Row],[!Type]]=N$1, N$1,"rg:None")</f>
        <v>rg:None</v>
      </c>
      <c r="O98" s="13"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13" t="str">
        <f>IF(LEN(Table2[[#This Row],[!Length]]) &gt; 0, Table2[[#This Row],[!Length]], "rg:None")</f>
        <v>rg:None</v>
      </c>
      <c r="U98" s="13" t="str">
        <f>IF(LEN(Table2[[#This Row],[!Name]]) &gt; 0, Table2[[#This Row],[!Name]], "rg:None")</f>
        <v>id</v>
      </c>
      <c r="V98" s="13" t="str">
        <f>IF(LEN(Table2[[#This Row],[!Description]]) &gt; 0, Table2[[#This Row],[!Description]], "rg:None")</f>
        <v>A system-generated unique identifier for a Fuel Supplier Attachment.</v>
      </c>
      <c r="W98" s="13" t="str">
        <f>IF(LEN(Table2[[#This Row],[!FK]])&gt;0,Table2[[#This Row],[!FK]],"rg:None")</f>
        <v>rg:None</v>
      </c>
      <c r="X98" s="13" t="str">
        <f>IF(LEN(concatif2(A:A,Table2[[#This Row],[!Table]],G:G,"Y",D:D,",")) &gt; 0,"rg:[ { 'req' : '"&amp;concatif2(A:A,Table2[[#This Row],[!Table]],G:G,"Y",D:D,"' }, { 'req': '")&amp;"'} ]","rg:[]")</f>
        <v>rg:[ { 'req' : 'id' }, { 'req': 'fuelSupplierFK'} ]</v>
      </c>
      <c r="Y98" s="13" t="str">
        <f>IF(LEN(Table2[[#This Row],[!Unique]])&gt;0,IF(Table2[[#This Row],[!Type]] = "id", "rg:None","rg:True"),"rg:None")</f>
        <v>rg:None</v>
      </c>
    </row>
    <row r="99" spans="1:25" s="4" customFormat="1" ht="16.05" customHeight="1" x14ac:dyDescent="0.3">
      <c r="A99" s="44" t="s">
        <v>148</v>
      </c>
      <c r="B99" s="55" t="s">
        <v>8</v>
      </c>
      <c r="C99" s="5"/>
      <c r="D99" s="82" t="s">
        <v>326</v>
      </c>
      <c r="E99" s="68" t="s">
        <v>224</v>
      </c>
      <c r="F99" s="56" t="s">
        <v>127</v>
      </c>
      <c r="G99" s="57" t="s">
        <v>38</v>
      </c>
      <c r="H99" s="14"/>
      <c r="I99" s="4" t="str">
        <f>IF(LEN(A99) &gt; 0,"Defs","-")</f>
        <v>Defs</v>
      </c>
      <c r="J99" s="13" t="str">
        <f>IF(Table2[[#This Row],[!Type]]=J$1, J$1,"rg:None")</f>
        <v>rg:None</v>
      </c>
      <c r="K99" s="13" t="str">
        <f>IF(Table2[[#This Row],[!Type]]=K$1, K$1,"rg:None")</f>
        <v>rg:None</v>
      </c>
      <c r="L99" s="13" t="str">
        <f>IF(Table2[[#This Row],[!Type]]=L$1, L$1,"rg:None")</f>
        <v>rg:None</v>
      </c>
      <c r="M99" s="13" t="str">
        <f>IF(Table2[[#This Row],[!Type]]=M$1, M$1,"rg:None")</f>
        <v>rg:None</v>
      </c>
      <c r="N99" s="13" t="str">
        <f>IF(Table2[[#This Row],[!Type]]=N$1, N$1,"rg:None")</f>
        <v>rg:None</v>
      </c>
      <c r="O99" s="13" t="str">
        <f>IF(Table2[[#This Row],[!Type]]=O$1, O$1,"rg:None")</f>
        <v>rg:None</v>
      </c>
      <c r="P99" s="4" t="str">
        <f>IF(Table2[[#This Row],[!Type]]=P$1, P$1,"rg:None")</f>
        <v>rg:None</v>
      </c>
      <c r="Q99" s="4" t="str">
        <f>IF(Table2[[#This Row],[!Type]]=Q$1, Q$1,"rg:None")</f>
        <v>ref</v>
      </c>
      <c r="R99" s="4" t="str">
        <f>IF(Table2[[#This Row],[!Type]]=R$1, R$1,"rg:None")</f>
        <v>rg:None</v>
      </c>
      <c r="S99" s="4" t="str">
        <f>IF(Table2[[#This Row],[!Type]]=S$1, S$1,"rg:None")</f>
        <v>rg:None</v>
      </c>
      <c r="T99" s="13" t="str">
        <f>IF(LEN(Table2[[#This Row],[!Length]]) &gt; 0, Table2[[#This Row],[!Length]], "rg:None")</f>
        <v>rg:None</v>
      </c>
      <c r="U99" s="13" t="str">
        <f>IF(LEN(Table2[[#This Row],[!Name]]) &gt; 0, Table2[[#This Row],[!Name]], "rg:None")</f>
        <v>fuelSupplierFK</v>
      </c>
      <c r="V99" s="13" t="str">
        <f>IF(LEN(Table2[[#This Row],[!Description]]) &gt; 0, Table2[[#This Row],[!Description]], "rg:None")</f>
        <v>A foreign key reference to a FuelSupplier.</v>
      </c>
      <c r="W99" s="13" t="str">
        <f>IF(LEN(Table2[[#This Row],[!FK]])&gt;0,Table2[[#This Row],[!FK]],"rg:None")</f>
        <v>FuelSupplier</v>
      </c>
      <c r="X99" s="13" t="str">
        <f>IF(LEN(concatif2(A:A,Table2[[#This Row],[!Table]],G:G,"Y",D:D,",")) &gt; 0,"rg:[ { 'req' : '"&amp;concatif2(A:A,Table2[[#This Row],[!Table]],G:G,"Y",D:D,"' }, { 'req': '")&amp;"'} ]","rg:[]")</f>
        <v>rg:[ { 'req' : 'id' }, { 'req': 'fuelSupplierFK'} ]</v>
      </c>
      <c r="Y99" s="13" t="str">
        <f>IF(LEN(Table2[[#This Row],[!Unique]])&gt;0,IF(Table2[[#This Row],[!Type]] = "id", "rg:None","rg:True"),"rg:None")</f>
        <v>rg:None</v>
      </c>
    </row>
    <row r="100" spans="1:25" s="4" customFormat="1" ht="16.05" customHeight="1" x14ac:dyDescent="0.3">
      <c r="A100" s="44" t="s">
        <v>148</v>
      </c>
      <c r="B100" s="5" t="s">
        <v>7</v>
      </c>
      <c r="C100" s="5">
        <v>250</v>
      </c>
      <c r="D100" s="23" t="s">
        <v>98</v>
      </c>
      <c r="E100" s="68" t="s">
        <v>231</v>
      </c>
      <c r="F100" s="5" t="s">
        <v>5</v>
      </c>
      <c r="G100" s="20"/>
      <c r="H100" s="20"/>
      <c r="I100" s="4" t="str">
        <f t="shared" si="16"/>
        <v>Defs</v>
      </c>
      <c r="J100" s="13" t="str">
        <f>IF(Table2[[#This Row],[!Type]]=J$1, J$1,"rg:None")</f>
        <v>rg:None</v>
      </c>
      <c r="K100" s="13" t="str">
        <f>IF(Table2[[#This Row],[!Type]]=K$1, K$1,"rg:None")</f>
        <v>rg:None</v>
      </c>
      <c r="L100" s="13" t="str">
        <f>IF(Table2[[#This Row],[!Type]]=L$1, L$1,"rg:None")</f>
        <v>rg:None</v>
      </c>
      <c r="M100" s="13" t="str">
        <f>IF(Table2[[#This Row],[!Type]]=M$1, M$1,"rg:None")</f>
        <v>rg:None</v>
      </c>
      <c r="N100" s="13" t="str">
        <f>IF(Table2[[#This Row],[!Type]]=N$1, N$1,"rg:None")</f>
        <v>rg:None</v>
      </c>
      <c r="O100" s="13"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13">
        <f>IF(LEN(Table2[[#This Row],[!Length]]) &gt; 0, Table2[[#This Row],[!Length]], "rg:None")</f>
        <v>250</v>
      </c>
      <c r="U100" s="13" t="str">
        <f>IF(LEN(Table2[[#This Row],[!Name]]) &gt; 0, Table2[[#This Row],[!Name]], "rg:None")</f>
        <v>fileName</v>
      </c>
      <c r="V100" s="13" t="str">
        <f>IF(LEN(Table2[[#This Row],[!Description]]) &gt; 0, Table2[[#This Row],[!Description]], "rg:None")</f>
        <v>Filename as passed by the user uploading the file.</v>
      </c>
      <c r="W100" s="13" t="str">
        <f>IF(LEN(Table2[[#This Row],[!FK]])&gt;0,Table2[[#This Row],[!FK]],"rg:None")</f>
        <v>rg:None</v>
      </c>
      <c r="X100" s="13" t="str">
        <f>IF(LEN(concatif2(A:A,Table2[[#This Row],[!Table]],G:G,"Y",D:D,",")) &gt; 0,"rg:[ { 'req' : '"&amp;concatif2(A:A,Table2[[#This Row],[!Table]],G:G,"Y",D:D,"' }, { 'req': '")&amp;"'} ]","rg:[]")</f>
        <v>rg:[ { 'req' : 'id' }, { 'req': 'fuelSupplierFK'} ]</v>
      </c>
      <c r="Y100" s="13" t="str">
        <f>IF(LEN(Table2[[#This Row],[!Unique]])&gt;0,IF(Table2[[#This Row],[!Type]] = "id", "rg:None","rg:True"),"rg:None")</f>
        <v>rg:None</v>
      </c>
    </row>
    <row r="101" spans="1:25" s="4" customFormat="1" ht="57.6" customHeight="1" x14ac:dyDescent="0.3">
      <c r="A101" s="44" t="s">
        <v>148</v>
      </c>
      <c r="B101" s="61" t="s">
        <v>7</v>
      </c>
      <c r="C101" s="5">
        <v>2000</v>
      </c>
      <c r="D101" s="61" t="s">
        <v>174</v>
      </c>
      <c r="E101" s="69" t="s">
        <v>293</v>
      </c>
      <c r="F101" s="5" t="s">
        <v>5</v>
      </c>
      <c r="G101" s="20"/>
      <c r="H101" s="20"/>
      <c r="I101" s="4" t="str">
        <f t="shared" si="16"/>
        <v>Defs</v>
      </c>
      <c r="J101" s="13" t="str">
        <f>IF(Table2[[#This Row],[!Type]]=J$1, J$1,"rg:None")</f>
        <v>rg:None</v>
      </c>
      <c r="K101" s="13" t="str">
        <f>IF(Table2[[#This Row],[!Type]]=K$1, K$1,"rg:None")</f>
        <v>rg:None</v>
      </c>
      <c r="L101" s="13" t="str">
        <f>IF(Table2[[#This Row],[!Type]]=L$1, L$1,"rg:None")</f>
        <v>rg:None</v>
      </c>
      <c r="M101" s="13" t="str">
        <f>IF(Table2[[#This Row],[!Type]]=M$1, M$1,"rg:None")</f>
        <v>rg:None</v>
      </c>
      <c r="N101" s="13" t="str">
        <f>IF(Table2[[#This Row],[!Type]]=N$1, N$1,"rg:None")</f>
        <v>rg:None</v>
      </c>
      <c r="O101" s="13"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13">
        <f>IF(LEN(Table2[[#This Row],[!Length]]) &gt; 0, Table2[[#This Row],[!Length]], "rg:None")</f>
        <v>2000</v>
      </c>
      <c r="U101" s="13" t="str">
        <f>IF(LEN(Table2[[#This Row],[!Name]]) &gt; 0, Table2[[#This Row],[!Name]], "rg:None")</f>
        <v>fileLocation</v>
      </c>
      <c r="V101" s="13" t="str">
        <f>IF(LEN(Table2[[#This Row],[!Description]]) &gt; 0, Table2[[#This Row],[!Description]], "rg:None")</f>
        <v>The location of the file relative to the server - possibly an ID for getting the file from the Natural Resources Sector (NRS) Document Management system.</v>
      </c>
      <c r="W101" s="13" t="str">
        <f>IF(LEN(Table2[[#This Row],[!FK]])&gt;0,Table2[[#This Row],[!FK]],"rg:None")</f>
        <v>rg:None</v>
      </c>
      <c r="X101" s="13" t="str">
        <f>IF(LEN(concatif2(A:A,Table2[[#This Row],[!Table]],G:G,"Y",D:D,",")) &gt; 0,"rg:[ { 'req' : '"&amp;concatif2(A:A,Table2[[#This Row],[!Table]],G:G,"Y",D:D,"' }, { 'req': '")&amp;"'} ]","rg:[]")</f>
        <v>rg:[ { 'req' : 'id' }, { 'req': 'fuelSupplierFK'} ]</v>
      </c>
      <c r="Y101" s="13" t="str">
        <f>IF(LEN(Table2[[#This Row],[!Unique]])&gt;0,IF(Table2[[#This Row],[!Type]] = "id", "rg:None","rg:True"),"rg:None")</f>
        <v>rg:None</v>
      </c>
    </row>
    <row r="102" spans="1:25" s="4" customFormat="1" ht="28.8" customHeight="1" x14ac:dyDescent="0.3">
      <c r="A102" s="44" t="s">
        <v>148</v>
      </c>
      <c r="B102" s="5" t="s">
        <v>7</v>
      </c>
      <c r="C102" s="5">
        <v>4000</v>
      </c>
      <c r="D102" s="5" t="s">
        <v>13</v>
      </c>
      <c r="E102" s="69" t="s">
        <v>294</v>
      </c>
      <c r="F102" s="5" t="s">
        <v>5</v>
      </c>
      <c r="I102" s="4" t="str">
        <f t="shared" si="16"/>
        <v>Defs</v>
      </c>
      <c r="J102" s="13" t="str">
        <f>IF(Table2[[#This Row],[!Type]]=J$1, J$1,"rg:None")</f>
        <v>rg:None</v>
      </c>
      <c r="K102" s="13" t="str">
        <f>IF(Table2[[#This Row],[!Type]]=K$1, K$1,"rg:None")</f>
        <v>rg:None</v>
      </c>
      <c r="L102" s="13" t="str">
        <f>IF(Table2[[#This Row],[!Type]]=L$1, L$1,"rg:None")</f>
        <v>rg:None</v>
      </c>
      <c r="M102" s="13" t="str">
        <f>IF(Table2[[#This Row],[!Type]]=M$1, M$1,"rg:None")</f>
        <v>rg:None</v>
      </c>
      <c r="N102" s="13" t="str">
        <f>IF(Table2[[#This Row],[!Type]]=N$1, N$1,"rg:None")</f>
        <v>rg:None</v>
      </c>
      <c r="O102" s="13"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13">
        <f>IF(LEN(Table2[[#This Row],[!Length]]) &gt; 0, Table2[[#This Row],[!Length]], "rg:None")</f>
        <v>4000</v>
      </c>
      <c r="U102" s="13" t="str">
        <f>IF(LEN(Table2[[#This Row],[!Name]]) &gt; 0, Table2[[#This Row],[!Name]], "rg:None")</f>
        <v>description</v>
      </c>
      <c r="V102" s="13" t="str">
        <f>IF(LEN(Table2[[#This Row],[!Description]]) &gt; 0, Table2[[#This Row],[!Description]], "rg:None")</f>
        <v>A note about the attachment,  optionally provided by the user on upload or replacement.</v>
      </c>
      <c r="W102" s="13" t="str">
        <f>IF(LEN(Table2[[#This Row],[!FK]])&gt;0,Table2[[#This Row],[!FK]],"rg:None")</f>
        <v>rg:None</v>
      </c>
      <c r="X102" s="13" t="str">
        <f>IF(LEN(concatif2(A:A,Table2[[#This Row],[!Table]],G:G,"Y",D:D,",")) &gt; 0,"rg:[ { 'req' : '"&amp;concatif2(A:A,Table2[[#This Row],[!Table]],G:G,"Y",D:D,"' }, { 'req': '")&amp;"'} ]","rg:[]")</f>
        <v>rg:[ { 'req' : 'id' }, { 'req': 'fuelSupplierFK'} ]</v>
      </c>
      <c r="Y102" s="13" t="str">
        <f>IF(LEN(Table2[[#This Row],[!Unique]])&gt;0,IF(Table2[[#This Row],[!Type]] = "id", "rg:None","rg:True"),"rg:None")</f>
        <v>rg:None</v>
      </c>
    </row>
    <row r="103" spans="1:25" s="4" customFormat="1" ht="28.8" customHeight="1" x14ac:dyDescent="0.3">
      <c r="A103" s="61" t="s">
        <v>148</v>
      </c>
      <c r="B103" s="61" t="s">
        <v>7</v>
      </c>
      <c r="C103" s="5">
        <v>25</v>
      </c>
      <c r="D103" s="61" t="s">
        <v>183</v>
      </c>
      <c r="E103" s="68" t="s">
        <v>184</v>
      </c>
      <c r="F103" s="6"/>
      <c r="G103" s="14"/>
      <c r="H103" s="14"/>
      <c r="I103" s="4" t="str">
        <f>IF(LEN(A103) &gt; 0,"Defs","-")</f>
        <v>Defs</v>
      </c>
      <c r="J103" s="13" t="str">
        <f>IF(Table2[[#This Row],[!Type]]=J$1, J$1,"rg:None")</f>
        <v>rg:None</v>
      </c>
      <c r="K103" s="13" t="str">
        <f>IF(Table2[[#This Row],[!Type]]=K$1, K$1,"rg:None")</f>
        <v>rg:None</v>
      </c>
      <c r="L103" s="13" t="str">
        <f>IF(Table2[[#This Row],[!Type]]=L$1, L$1,"rg:None")</f>
        <v>rg:None</v>
      </c>
      <c r="M103" s="13" t="str">
        <f>IF(Table2[[#This Row],[!Type]]=M$1, M$1,"rg:None")</f>
        <v>rg:None</v>
      </c>
      <c r="N103" s="13" t="str">
        <f>IF(Table2[[#This Row],[!Type]]=N$1, N$1,"rg:None")</f>
        <v>rg:None</v>
      </c>
      <c r="O103" s="13"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13">
        <f>IF(LEN(Table2[[#This Row],[!Length]]) &gt; 0, Table2[[#This Row],[!Length]], "rg:None")</f>
        <v>25</v>
      </c>
      <c r="U103" s="13" t="str">
        <f>IF(LEN(Table2[[#This Row],[!Name]]) &gt; 0, Table2[[#This Row],[!Name]], "rg:None")</f>
        <v>complianceYear</v>
      </c>
      <c r="V103" s="13" t="str">
        <f>IF(LEN(Table2[[#This Row],[!Description]]) &gt; 0, Table2[[#This Row],[!Description]], "rg:None")</f>
        <v>The compliance year (FY) to which this document pertains.</v>
      </c>
      <c r="W103" s="13" t="str">
        <f>IF(LEN(Table2[[#This Row],[!FK]])&gt;0,Table2[[#This Row],[!FK]],"rg:None")</f>
        <v>rg:None</v>
      </c>
      <c r="X103" s="13" t="str">
        <f>IF(LEN(concatif2(A:A,Table2[[#This Row],[!Table]],G:G,"Y",D:D,",")) &gt; 0,"rg:[ { 'req' : '"&amp;concatif2(A:A,Table2[[#This Row],[!Table]],G:G,"Y",D:D,"' }, { 'req': '")&amp;"'} ]","rg:[]")</f>
        <v>rg:[ { 'req' : 'id' }, { 'req': 'fuelSupplierFK'} ]</v>
      </c>
      <c r="Y103" s="13" t="str">
        <f>IF(LEN(Table2[[#This Row],[!Unique]])&gt;0,IF(Table2[[#This Row],[!Type]] = "id", "rg:None","rg:True"),"rg:None")</f>
        <v>rg:None</v>
      </c>
    </row>
    <row r="104" spans="1:25" s="4" customFormat="1" ht="16.05" customHeight="1" x14ac:dyDescent="0.3">
      <c r="A104" s="61" t="s">
        <v>185</v>
      </c>
      <c r="B104" s="61" t="s">
        <v>4</v>
      </c>
      <c r="C104" s="5"/>
      <c r="D104" s="61" t="s">
        <v>185</v>
      </c>
      <c r="E104" s="69" t="s">
        <v>295</v>
      </c>
      <c r="F104" s="6"/>
      <c r="G104" s="14"/>
      <c r="H104" s="14"/>
      <c r="I104" s="4" t="str">
        <f t="shared" ref="I104:I106" si="17">IF(LEN(A104) &gt; 0,"Defs","-")</f>
        <v>Defs</v>
      </c>
      <c r="J104" s="13" t="str">
        <f>IF(Table2[[#This Row],[!Type]]=J$1, J$1,"rg:None")</f>
        <v>rg:None</v>
      </c>
      <c r="K104" s="13" t="str">
        <f>IF(Table2[[#This Row],[!Type]]=K$1, K$1,"rg:None")</f>
        <v>rg:None</v>
      </c>
      <c r="L104" s="13" t="str">
        <f>IF(Table2[[#This Row],[!Type]]=L$1, L$1,"rg:None")</f>
        <v>rg:None</v>
      </c>
      <c r="M104" s="13" t="str">
        <f>IF(Table2[[#This Row],[!Type]]=M$1, M$1,"rg:None")</f>
        <v>rg:None</v>
      </c>
      <c r="N104" s="13" t="str">
        <f>IF(Table2[[#This Row],[!Type]]=N$1, N$1,"rg:None")</f>
        <v>rg:None</v>
      </c>
      <c r="O104" s="13"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table</v>
      </c>
      <c r="T104" s="13" t="str">
        <f>IF(LEN(Table2[[#This Row],[!Length]]) &gt; 0, Table2[[#This Row],[!Length]], "rg:None")</f>
        <v>rg:None</v>
      </c>
      <c r="U104" s="13" t="str">
        <f>IF(LEN(Table2[[#This Row],[!Name]]) &gt; 0, Table2[[#This Row],[!Name]], "rg:None")</f>
        <v>FuelSupplierAttachmentTag</v>
      </c>
      <c r="V104" s="13" t="str">
        <f>IF(LEN(Table2[[#This Row],[!Description]]) &gt; 0, Table2[[#This Row],[!Description]], "rg:None")</f>
        <v>A tag associated with a Fuel Supplier Attachment.</v>
      </c>
      <c r="W104" s="13" t="str">
        <f>IF(LEN(Table2[[#This Row],[!FK]])&gt;0,Table2[[#This Row],[!FK]],"rg:None")</f>
        <v>rg:None</v>
      </c>
      <c r="X104" s="13" t="str">
        <f>IF(LEN(concatif2(A:A,Table2[[#This Row],[!Table]],G:G,"Y",D:D,",")) &gt; 0,"rg:[ { 'req' : '"&amp;concatif2(A:A,Table2[[#This Row],[!Table]],G:G,"Y",D:D,"' }, { 'req': '")&amp;"'} ]","rg:[]")</f>
        <v>rg:[ { 'req' : 'id' }, { 'req': 'fuelSupplierAttachmentFK' }, { 'req': 'tag'} ]</v>
      </c>
      <c r="Y104" s="13" t="str">
        <f>IF(LEN(Table2[[#This Row],[!Unique]])&gt;0,IF(Table2[[#This Row],[!Type]] = "id", "rg:None","rg:True"),"rg:None")</f>
        <v>rg:None</v>
      </c>
    </row>
    <row r="105" spans="1:25" s="4" customFormat="1" ht="28.8" x14ac:dyDescent="0.3">
      <c r="A105" s="61" t="s">
        <v>185</v>
      </c>
      <c r="B105" s="61" t="s">
        <v>6</v>
      </c>
      <c r="C105" s="5"/>
      <c r="D105" s="61" t="s">
        <v>6</v>
      </c>
      <c r="E105" s="69" t="s">
        <v>230</v>
      </c>
      <c r="F105" s="6"/>
      <c r="G105" s="79" t="s">
        <v>38</v>
      </c>
      <c r="H105" s="79" t="s">
        <v>38</v>
      </c>
      <c r="I105" s="4" t="str">
        <f t="shared" si="17"/>
        <v>Defs</v>
      </c>
      <c r="J105" s="13" t="str">
        <f>IF(Table2[[#This Row],[!Type]]=J$1, J$1,"rg:None")</f>
        <v>rg:None</v>
      </c>
      <c r="K105" s="13" t="str">
        <f>IF(Table2[[#This Row],[!Type]]=K$1, K$1,"rg:None")</f>
        <v>rg:None</v>
      </c>
      <c r="L105" s="13" t="str">
        <f>IF(Table2[[#This Row],[!Type]]=L$1, L$1,"rg:None")</f>
        <v>rg:None</v>
      </c>
      <c r="M105" s="13" t="str">
        <f>IF(Table2[[#This Row],[!Type]]=M$1, M$1,"rg:None")</f>
        <v>id</v>
      </c>
      <c r="N105" s="13" t="str">
        <f>IF(Table2[[#This Row],[!Type]]=N$1, N$1,"rg:None")</f>
        <v>rg:None</v>
      </c>
      <c r="O105" s="13"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13" t="str">
        <f>IF(LEN(Table2[[#This Row],[!Length]]) &gt; 0, Table2[[#This Row],[!Length]], "rg:None")</f>
        <v>rg:None</v>
      </c>
      <c r="U105" s="13" t="str">
        <f>IF(LEN(Table2[[#This Row],[!Name]]) &gt; 0, Table2[[#This Row],[!Name]], "rg:None")</f>
        <v>id</v>
      </c>
      <c r="V105" s="13" t="str">
        <f>IF(LEN(Table2[[#This Row],[!Description]]) &gt; 0, Table2[[#This Row],[!Description]], "rg:None")</f>
        <v>A system-generated unique identifier for a Fuel Supplier Attachment.</v>
      </c>
      <c r="W105" s="13" t="str">
        <f>IF(LEN(Table2[[#This Row],[!FK]])&gt;0,Table2[[#This Row],[!FK]],"rg:None")</f>
        <v>rg:None</v>
      </c>
      <c r="X105" s="13" t="str">
        <f>IF(LEN(concatif2(A:A,Table2[[#This Row],[!Table]],G:G,"Y",D:D,",")) &gt; 0,"rg:[ { 'req' : '"&amp;concatif2(A:A,Table2[[#This Row],[!Table]],G:G,"Y",D:D,"' }, { 'req': '")&amp;"'} ]","rg:[]")</f>
        <v>rg:[ { 'req' : 'id' }, { 'req': 'fuelSupplierAttachmentFK' }, { 'req': 'tag'} ]</v>
      </c>
      <c r="Y105" s="13" t="str">
        <f>IF(LEN(Table2[[#This Row],[!Unique]])&gt;0,IF(Table2[[#This Row],[!Type]] = "id", "rg:None","rg:True"),"rg:None")</f>
        <v>rg:None</v>
      </c>
    </row>
    <row r="106" spans="1:25" s="4" customFormat="1" ht="28.8" customHeight="1" x14ac:dyDescent="0.3">
      <c r="A106" s="61" t="s">
        <v>185</v>
      </c>
      <c r="B106" s="61" t="s">
        <v>8</v>
      </c>
      <c r="C106" s="5"/>
      <c r="D106" s="82" t="s">
        <v>331</v>
      </c>
      <c r="E106" s="69" t="s">
        <v>296</v>
      </c>
      <c r="F106" s="66" t="s">
        <v>148</v>
      </c>
      <c r="G106" s="67" t="s">
        <v>38</v>
      </c>
      <c r="H106" s="14"/>
      <c r="I106" s="4" t="str">
        <f t="shared" si="17"/>
        <v>Defs</v>
      </c>
      <c r="J106" s="13" t="str">
        <f>IF(Table2[[#This Row],[!Type]]=J$1, J$1,"rg:None")</f>
        <v>rg:None</v>
      </c>
      <c r="K106" s="13" t="str">
        <f>IF(Table2[[#This Row],[!Type]]=K$1, K$1,"rg:None")</f>
        <v>rg:None</v>
      </c>
      <c r="L106" s="13" t="str">
        <f>IF(Table2[[#This Row],[!Type]]=L$1, L$1,"rg:None")</f>
        <v>rg:None</v>
      </c>
      <c r="M106" s="13" t="str">
        <f>IF(Table2[[#This Row],[!Type]]=M$1, M$1,"rg:None")</f>
        <v>rg:None</v>
      </c>
      <c r="N106" s="13" t="str">
        <f>IF(Table2[[#This Row],[!Type]]=N$1, N$1,"rg:None")</f>
        <v>rg:None</v>
      </c>
      <c r="O106" s="13" t="str">
        <f>IF(Table2[[#This Row],[!Type]]=O$1, O$1,"rg:None")</f>
        <v>rg:None</v>
      </c>
      <c r="P106" s="4" t="str">
        <f>IF(Table2[[#This Row],[!Type]]=P$1, P$1,"rg:None")</f>
        <v>rg:None</v>
      </c>
      <c r="Q106" s="4" t="str">
        <f>IF(Table2[[#This Row],[!Type]]=Q$1, Q$1,"rg:None")</f>
        <v>ref</v>
      </c>
      <c r="R106" s="4" t="str">
        <f>IF(Table2[[#This Row],[!Type]]=R$1, R$1,"rg:None")</f>
        <v>rg:None</v>
      </c>
      <c r="S106" s="4" t="str">
        <f>IF(Table2[[#This Row],[!Type]]=S$1, S$1,"rg:None")</f>
        <v>rg:None</v>
      </c>
      <c r="T106" s="13" t="str">
        <f>IF(LEN(Table2[[#This Row],[!Length]]) &gt; 0, Table2[[#This Row],[!Length]], "rg:None")</f>
        <v>rg:None</v>
      </c>
      <c r="U106" s="13" t="str">
        <f>IF(LEN(Table2[[#This Row],[!Name]]) &gt; 0, Table2[[#This Row],[!Name]], "rg:None")</f>
        <v>fuelSupplierAttachmentFK</v>
      </c>
      <c r="V106" s="13" t="str">
        <f>IF(LEN(Table2[[#This Row],[!Description]]) &gt; 0, Table2[[#This Row],[!Description]], "rg:None")</f>
        <v>A foreign key reference to the Fuel Supplier Attachment to which the tag is related.</v>
      </c>
      <c r="W106" s="13" t="str">
        <f>IF(LEN(Table2[[#This Row],[!FK]])&gt;0,Table2[[#This Row],[!FK]],"rg:None")</f>
        <v>FuelSupplierAttachment</v>
      </c>
      <c r="X106" s="13" t="str">
        <f>IF(LEN(concatif2(A:A,Table2[[#This Row],[!Table]],G:G,"Y",D:D,",")) &gt; 0,"rg:[ { 'req' : '"&amp;concatif2(A:A,Table2[[#This Row],[!Table]],G:G,"Y",D:D,"' }, { 'req': '")&amp;"'} ]","rg:[]")</f>
        <v>rg:[ { 'req' : 'id' }, { 'req': 'fuelSupplierAttachmentFK' }, { 'req': 'tag'} ]</v>
      </c>
      <c r="Y106" s="13" t="str">
        <f>IF(LEN(Table2[[#This Row],[!Unique]])&gt;0,IF(Table2[[#This Row],[!Type]] = "id", "rg:None","rg:True"),"rg:None")</f>
        <v>rg:None</v>
      </c>
    </row>
    <row r="107" spans="1:25" s="4" customFormat="1" ht="28.8" customHeight="1" x14ac:dyDescent="0.3">
      <c r="A107" s="61" t="s">
        <v>185</v>
      </c>
      <c r="B107" s="61" t="s">
        <v>7</v>
      </c>
      <c r="C107" s="5">
        <v>100</v>
      </c>
      <c r="D107" s="61" t="s">
        <v>48</v>
      </c>
      <c r="E107" s="68" t="s">
        <v>186</v>
      </c>
      <c r="F107" s="6"/>
      <c r="G107" s="79" t="s">
        <v>38</v>
      </c>
      <c r="H107" s="14"/>
      <c r="I107" s="4" t="str">
        <f>IF(LEN(A107) &gt; 0,"Defs","-")</f>
        <v>Defs</v>
      </c>
      <c r="J107" s="13" t="str">
        <f>IF(Table2[[#This Row],[!Type]]=J$1, J$1,"rg:None")</f>
        <v>rg:None</v>
      </c>
      <c r="K107" s="13" t="str">
        <f>IF(Table2[[#This Row],[!Type]]=K$1, K$1,"rg:None")</f>
        <v>rg:None</v>
      </c>
      <c r="L107" s="13" t="str">
        <f>IF(Table2[[#This Row],[!Type]]=L$1, L$1,"rg:None")</f>
        <v>rg:None</v>
      </c>
      <c r="M107" s="13" t="str">
        <f>IF(Table2[[#This Row],[!Type]]=M$1, M$1,"rg:None")</f>
        <v>rg:None</v>
      </c>
      <c r="N107" s="13" t="str">
        <f>IF(Table2[[#This Row],[!Type]]=N$1, N$1,"rg:None")</f>
        <v>rg:None</v>
      </c>
      <c r="O107" s="13"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13">
        <f>IF(LEN(Table2[[#This Row],[!Length]]) &gt; 0, Table2[[#This Row],[!Length]], "rg:None")</f>
        <v>100</v>
      </c>
      <c r="U107" s="13" t="str">
        <f>IF(LEN(Table2[[#This Row],[!Name]]) &gt; 0, Table2[[#This Row],[!Name]], "rg:None")</f>
        <v>tag</v>
      </c>
      <c r="V107" s="13" t="str">
        <f>IF(LEN(Table2[[#This Row],[!Description]]) &gt; 0, Table2[[#This Row],[!Description]], "rg:None")</f>
        <v>A user-entered to tag applied to the Fuel Supplier Attachment.</v>
      </c>
      <c r="W107" s="13" t="str">
        <f>IF(LEN(Table2[[#This Row],[!FK]])&gt;0,Table2[[#This Row],[!FK]],"rg:None")</f>
        <v>rg:None</v>
      </c>
      <c r="X107" s="13" t="str">
        <f>IF(LEN(concatif2(A:A,Table2[[#This Row],[!Table]],G:G,"Y",D:D,",")) &gt; 0,"rg:[ { 'req' : '"&amp;concatif2(A:A,Table2[[#This Row],[!Table]],G:G,"Y",D:D,"' }, { 'req': '")&amp;"'} ]","rg:[]")</f>
        <v>rg:[ { 'req' : 'id' }, { 'req': 'fuelSupplierAttachmentFK' }, { 'req': 'tag'} ]</v>
      </c>
      <c r="Y107" s="13" t="str">
        <f>IF(LEN(Table2[[#This Row],[!Unique]])&gt;0,IF(Table2[[#This Row],[!Type]] = "id", "rg:None","rg:True"),"rg:None")</f>
        <v>rg:None</v>
      </c>
    </row>
    <row r="108" spans="1:25" s="4" customFormat="1" ht="16.05" customHeight="1" x14ac:dyDescent="0.3">
      <c r="A108" s="44" t="s">
        <v>149</v>
      </c>
      <c r="B108" s="44" t="s">
        <v>4</v>
      </c>
      <c r="C108" s="5"/>
      <c r="D108" s="44" t="s">
        <v>149</v>
      </c>
      <c r="E108" s="68" t="s">
        <v>232</v>
      </c>
      <c r="F108" s="5" t="s">
        <v>5</v>
      </c>
      <c r="I108" s="4" t="str">
        <f t="shared" si="16"/>
        <v>Defs</v>
      </c>
      <c r="J108" s="13" t="str">
        <f>IF(Table2[[#This Row],[!Type]]=J$1, J$1,"rg:None")</f>
        <v>rg:None</v>
      </c>
      <c r="K108" s="13" t="str">
        <f>IF(Table2[[#This Row],[!Type]]=K$1, K$1,"rg:None")</f>
        <v>rg:None</v>
      </c>
      <c r="L108" s="13" t="str">
        <f>IF(Table2[[#This Row],[!Type]]=L$1, L$1,"rg:None")</f>
        <v>rg:None</v>
      </c>
      <c r="M108" s="13" t="str">
        <f>IF(Table2[[#This Row],[!Type]]=M$1, M$1,"rg:None")</f>
        <v>rg:None</v>
      </c>
      <c r="N108" s="13" t="str">
        <f>IF(Table2[[#This Row],[!Type]]=N$1, N$1,"rg:None")</f>
        <v>rg:None</v>
      </c>
      <c r="O108" s="13"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table</v>
      </c>
      <c r="T108" s="13" t="str">
        <f>IF(LEN(Table2[[#This Row],[!Length]]) &gt; 0, Table2[[#This Row],[!Length]], "rg:None")</f>
        <v>rg:None</v>
      </c>
      <c r="U108" s="13" t="str">
        <f>IF(LEN(Table2[[#This Row],[!Name]]) &gt; 0, Table2[[#This Row],[!Name]], "rg:None")</f>
        <v>FuelSupplierHistory</v>
      </c>
      <c r="V108" s="13" t="str">
        <f>IF(LEN(Table2[[#This Row],[!Description]]) &gt; 0, Table2[[#This Row],[!Description]], "rg:None")</f>
        <v>The history of updates made to a Fuel Supplier.</v>
      </c>
      <c r="W108" s="13" t="str">
        <f>IF(LEN(Table2[[#This Row],[!FK]])&gt;0,Table2[[#This Row],[!FK]],"rg:None")</f>
        <v>rg:None</v>
      </c>
      <c r="X108" s="13" t="str">
        <f>IF(LEN(concatif2(A:A,Table2[[#This Row],[!Table]],G:G,"Y",D:D,",")) &gt; 0,"rg:[ { 'req' : '"&amp;concatif2(A:A,Table2[[#This Row],[!Table]],G:G,"Y",D:D,"' }, { 'req': '")&amp;"'} ]","rg:[]")</f>
        <v>rg:[ { 'req' : 'id' }, { 'req': 'fuelSupplierFK' }, { 'req': 'historyText'} ]</v>
      </c>
      <c r="Y108" s="13" t="str">
        <f>IF(LEN(Table2[[#This Row],[!Unique]])&gt;0,IF(Table2[[#This Row],[!Type]] = "id", "rg:None","rg:True"),"rg:None")</f>
        <v>rg:None</v>
      </c>
    </row>
    <row r="109" spans="1:25" s="4" customFormat="1" ht="28.8" x14ac:dyDescent="0.3">
      <c r="A109" s="44" t="s">
        <v>149</v>
      </c>
      <c r="B109" s="5" t="s">
        <v>6</v>
      </c>
      <c r="C109" s="5"/>
      <c r="D109" s="5" t="s">
        <v>6</v>
      </c>
      <c r="E109" s="68" t="s">
        <v>233</v>
      </c>
      <c r="F109" s="5" t="s">
        <v>5</v>
      </c>
      <c r="G109" s="4" t="s">
        <v>38</v>
      </c>
      <c r="H109" s="20" t="s">
        <v>38</v>
      </c>
      <c r="I109" s="4" t="str">
        <f t="shared" si="16"/>
        <v>Defs</v>
      </c>
      <c r="J109" s="13" t="str">
        <f>IF(Table2[[#This Row],[!Type]]=J$1, J$1,"rg:None")</f>
        <v>rg:None</v>
      </c>
      <c r="K109" s="13" t="str">
        <f>IF(Table2[[#This Row],[!Type]]=K$1, K$1,"rg:None")</f>
        <v>rg:None</v>
      </c>
      <c r="L109" s="13" t="str">
        <f>IF(Table2[[#This Row],[!Type]]=L$1, L$1,"rg:None")</f>
        <v>rg:None</v>
      </c>
      <c r="M109" s="13" t="str">
        <f>IF(Table2[[#This Row],[!Type]]=M$1, M$1,"rg:None")</f>
        <v>id</v>
      </c>
      <c r="N109" s="13" t="str">
        <f>IF(Table2[[#This Row],[!Type]]=N$1, N$1,"rg:None")</f>
        <v>rg:None</v>
      </c>
      <c r="O109" s="13"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13" t="str">
        <f>IF(LEN(Table2[[#This Row],[!Length]]) &gt; 0, Table2[[#This Row],[!Length]], "rg:None")</f>
        <v>rg:None</v>
      </c>
      <c r="U109" s="13" t="str">
        <f>IF(LEN(Table2[[#This Row],[!Name]]) &gt; 0, Table2[[#This Row],[!Name]], "rg:None")</f>
        <v>id</v>
      </c>
      <c r="V109" s="13" t="str">
        <f>IF(LEN(Table2[[#This Row],[!Description]]) &gt; 0, Table2[[#This Row],[!Description]], "rg:None")</f>
        <v>A system-generated unique identifier for a Fuel Supplier History.</v>
      </c>
      <c r="W109" s="13" t="str">
        <f>IF(LEN(Table2[[#This Row],[!FK]])&gt;0,Table2[[#This Row],[!FK]],"rg:None")</f>
        <v>rg:None</v>
      </c>
      <c r="X109" s="13" t="str">
        <f>IF(LEN(concatif2(A:A,Table2[[#This Row],[!Table]],G:G,"Y",D:D,",")) &gt; 0,"rg:[ { 'req' : '"&amp;concatif2(A:A,Table2[[#This Row],[!Table]],G:G,"Y",D:D,"' }, { 'req': '")&amp;"'} ]","rg:[]")</f>
        <v>rg:[ { 'req' : 'id' }, { 'req': 'fuelSupplierFK' }, { 'req': 'historyText'} ]</v>
      </c>
      <c r="Y109" s="13" t="str">
        <f>IF(LEN(Table2[[#This Row],[!Unique]])&gt;0,IF(Table2[[#This Row],[!Type]] = "id", "rg:None","rg:True"),"rg:None")</f>
        <v>rg:None</v>
      </c>
    </row>
    <row r="110" spans="1:25" s="4" customFormat="1" ht="16.05" customHeight="1" x14ac:dyDescent="0.3">
      <c r="A110" s="44" t="s">
        <v>149</v>
      </c>
      <c r="B110" s="55" t="s">
        <v>8</v>
      </c>
      <c r="C110" s="5"/>
      <c r="D110" s="82" t="s">
        <v>326</v>
      </c>
      <c r="E110" s="68" t="s">
        <v>224</v>
      </c>
      <c r="F110" s="56" t="s">
        <v>127</v>
      </c>
      <c r="G110" s="57" t="s">
        <v>38</v>
      </c>
      <c r="H110" s="14"/>
      <c r="I110" s="4" t="str">
        <f>IF(LEN(A110) &gt; 0,"Defs","-")</f>
        <v>Defs</v>
      </c>
      <c r="J110" s="13" t="str">
        <f>IF(Table2[[#This Row],[!Type]]=J$1, J$1,"rg:None")</f>
        <v>rg:None</v>
      </c>
      <c r="K110" s="13" t="str">
        <f>IF(Table2[[#This Row],[!Type]]=K$1, K$1,"rg:None")</f>
        <v>rg:None</v>
      </c>
      <c r="L110" s="13" t="str">
        <f>IF(Table2[[#This Row],[!Type]]=L$1, L$1,"rg:None")</f>
        <v>rg:None</v>
      </c>
      <c r="M110" s="13" t="str">
        <f>IF(Table2[[#This Row],[!Type]]=M$1, M$1,"rg:None")</f>
        <v>rg:None</v>
      </c>
      <c r="N110" s="13" t="str">
        <f>IF(Table2[[#This Row],[!Type]]=N$1, N$1,"rg:None")</f>
        <v>rg:None</v>
      </c>
      <c r="O110" s="13" t="str">
        <f>IF(Table2[[#This Row],[!Type]]=O$1, O$1,"rg:None")</f>
        <v>rg:None</v>
      </c>
      <c r="P110" s="4" t="str">
        <f>IF(Table2[[#This Row],[!Type]]=P$1, P$1,"rg:None")</f>
        <v>rg:None</v>
      </c>
      <c r="Q110" s="4" t="str">
        <f>IF(Table2[[#This Row],[!Type]]=Q$1, Q$1,"rg:None")</f>
        <v>ref</v>
      </c>
      <c r="R110" s="4" t="str">
        <f>IF(Table2[[#This Row],[!Type]]=R$1, R$1,"rg:None")</f>
        <v>rg:None</v>
      </c>
      <c r="S110" s="4" t="str">
        <f>IF(Table2[[#This Row],[!Type]]=S$1, S$1,"rg:None")</f>
        <v>rg:None</v>
      </c>
      <c r="T110" s="13" t="str">
        <f>IF(LEN(Table2[[#This Row],[!Length]]) &gt; 0, Table2[[#This Row],[!Length]], "rg:None")</f>
        <v>rg:None</v>
      </c>
      <c r="U110" s="13" t="str">
        <f>IF(LEN(Table2[[#This Row],[!Name]]) &gt; 0, Table2[[#This Row],[!Name]], "rg:None")</f>
        <v>fuelSupplierFK</v>
      </c>
      <c r="V110" s="13" t="str">
        <f>IF(LEN(Table2[[#This Row],[!Description]]) &gt; 0, Table2[[#This Row],[!Description]], "rg:None")</f>
        <v>A foreign key reference to a FuelSupplier.</v>
      </c>
      <c r="W110" s="13" t="str">
        <f>IF(LEN(Table2[[#This Row],[!FK]])&gt;0,Table2[[#This Row],[!FK]],"rg:None")</f>
        <v>FuelSupplier</v>
      </c>
      <c r="X110" s="13" t="str">
        <f>IF(LEN(concatif2(A:A,Table2[[#This Row],[!Table]],G:G,"Y",D:D,",")) &gt; 0,"rg:[ { 'req' : '"&amp;concatif2(A:A,Table2[[#This Row],[!Table]],G:G,"Y",D:D,"' }, { 'req': '")&amp;"'} ]","rg:[]")</f>
        <v>rg:[ { 'req' : 'id' }, { 'req': 'fuelSupplierFK' }, { 'req': 'historyText'} ]</v>
      </c>
      <c r="Y110" s="13" t="str">
        <f>IF(LEN(Table2[[#This Row],[!Unique]])&gt;0,IF(Table2[[#This Row],[!Type]] = "id", "rg:None","rg:True"),"rg:None")</f>
        <v>rg:None</v>
      </c>
    </row>
    <row r="111" spans="1:25" s="4" customFormat="1" ht="28.8" customHeight="1" x14ac:dyDescent="0.3">
      <c r="A111" s="44" t="s">
        <v>149</v>
      </c>
      <c r="B111" s="17" t="s">
        <v>7</v>
      </c>
      <c r="C111" s="5">
        <v>1000</v>
      </c>
      <c r="D111" s="17" t="s">
        <v>77</v>
      </c>
      <c r="E111" s="68" t="s">
        <v>76</v>
      </c>
      <c r="F111" s="5"/>
      <c r="G111" s="20" t="s">
        <v>38</v>
      </c>
      <c r="I111" s="4" t="str">
        <f t="shared" si="16"/>
        <v>Defs</v>
      </c>
      <c r="J111" s="13" t="str">
        <f>IF(Table2[[#This Row],[!Type]]=J$1, J$1,"rg:None")</f>
        <v>rg:None</v>
      </c>
      <c r="K111" s="13" t="str">
        <f>IF(Table2[[#This Row],[!Type]]=K$1, K$1,"rg:None")</f>
        <v>rg:None</v>
      </c>
      <c r="L111" s="13" t="str">
        <f>IF(Table2[[#This Row],[!Type]]=L$1, L$1,"rg:None")</f>
        <v>rg:None</v>
      </c>
      <c r="M111" s="13" t="str">
        <f>IF(Table2[[#This Row],[!Type]]=M$1, M$1,"rg:None")</f>
        <v>rg:None</v>
      </c>
      <c r="N111" s="13" t="str">
        <f>IF(Table2[[#This Row],[!Type]]=N$1, N$1,"rg:None")</f>
        <v>rg:None</v>
      </c>
      <c r="O111" s="13" t="str">
        <f>IF(Table2[[#This Row],[!Type]]=O$1, O$1,"rg:None")</f>
        <v>rg:None</v>
      </c>
      <c r="P111" s="4" t="str">
        <f>IF(Table2[[#This Row],[!Type]]=P$1, P$1,"rg:None")</f>
        <v>rg:None</v>
      </c>
      <c r="Q111" s="4" t="str">
        <f>IF(Table2[[#This Row],[!Type]]=Q$1, Q$1,"rg:None")</f>
        <v>rg:None</v>
      </c>
      <c r="R111" s="4" t="str">
        <f>IF(Table2[[#This Row],[!Type]]=R$1, R$1,"rg:None")</f>
        <v>string</v>
      </c>
      <c r="S111" s="4" t="str">
        <f>IF(Table2[[#This Row],[!Type]]=S$1, S$1,"rg:None")</f>
        <v>rg:None</v>
      </c>
      <c r="T111" s="13">
        <f>IF(LEN(Table2[[#This Row],[!Length]]) &gt; 0, Table2[[#This Row],[!Length]], "rg:None")</f>
        <v>1000</v>
      </c>
      <c r="U111" s="13" t="str">
        <f>IF(LEN(Table2[[#This Row],[!Name]]) &gt; 0, Table2[[#This Row],[!Name]], "rg:None")</f>
        <v>historyText</v>
      </c>
      <c r="V111" s="13" t="str">
        <f>IF(LEN(Table2[[#This Row],[!Description]]) &gt; 0, Table2[[#This Row],[!Description]], "rg:None")</f>
        <v>The text of the history entry tracked against the related entity.</v>
      </c>
      <c r="W111" s="13" t="str">
        <f>IF(LEN(Table2[[#This Row],[!FK]])&gt;0,Table2[[#This Row],[!FK]],"rg:None")</f>
        <v>rg:None</v>
      </c>
      <c r="X111" s="13" t="str">
        <f>IF(LEN(concatif2(A:A,Table2[[#This Row],[!Table]],G:G,"Y",D:D,",")) &gt; 0,"rg:[ { 'req' : '"&amp;concatif2(A:A,Table2[[#This Row],[!Table]],G:G,"Y",D:D,"' }, { 'req': '")&amp;"'} ]","rg:[]")</f>
        <v>rg:[ { 'req' : 'id' }, { 'req': 'fuelSupplierFK' }, { 'req': 'historyText'} ]</v>
      </c>
      <c r="Y111" s="13" t="str">
        <f>IF(LEN(Table2[[#This Row],[!Unique]])&gt;0,IF(Table2[[#This Row],[!Type]] = "id", "rg:None","rg:True"),"rg:None")</f>
        <v>rg:None</v>
      </c>
    </row>
    <row r="112" spans="1:25" s="4" customFormat="1" ht="43.2" customHeight="1" x14ac:dyDescent="0.3">
      <c r="A112" s="5" t="s">
        <v>21</v>
      </c>
      <c r="B112" s="5" t="s">
        <v>4</v>
      </c>
      <c r="C112" s="5"/>
      <c r="D112" s="5" t="s">
        <v>21</v>
      </c>
      <c r="E112" s="68" t="s">
        <v>39</v>
      </c>
      <c r="F112" s="5" t="s">
        <v>5</v>
      </c>
      <c r="I112" s="5" t="str">
        <f t="shared" si="1"/>
        <v>Defs</v>
      </c>
      <c r="J112" s="8" t="str">
        <f>IF(Table2[[#This Row],[!Type]]=J$1, J$1,"rg:None")</f>
        <v>rg:None</v>
      </c>
      <c r="K112" s="8" t="str">
        <f>IF(Table2[[#This Row],[!Type]]=K$1, K$1,"rg:None")</f>
        <v>rg:None</v>
      </c>
      <c r="L112" s="8" t="str">
        <f>IF(Table2[[#This Row],[!Type]]=L$1, L$1,"rg:None")</f>
        <v>rg:None</v>
      </c>
      <c r="M112" s="8" t="str">
        <f>IF(Table2[[#This Row],[!Type]]=M$1, M$1,"rg:None")</f>
        <v>rg:None</v>
      </c>
      <c r="N112" s="8" t="str">
        <f>IF(Table2[[#This Row],[!Type]]=N$1, N$1,"rg:None")</f>
        <v>rg:None</v>
      </c>
      <c r="O112" s="8" t="str">
        <f>IF(Table2[[#This Row],[!Type]]=O$1, O$1,"rg:None")</f>
        <v>rg:None</v>
      </c>
      <c r="P112" s="5" t="str">
        <f>IF(Table2[[#This Row],[!Type]]=P$1, P$1,"rg:None")</f>
        <v>rg:None</v>
      </c>
      <c r="Q112" s="5" t="str">
        <f>IF(Table2[[#This Row],[!Type]]=Q$1, Q$1,"rg:None")</f>
        <v>rg:None</v>
      </c>
      <c r="R112" s="5" t="str">
        <f>IF(Table2[[#This Row],[!Type]]=R$1, R$1,"rg:None")</f>
        <v>rg:None</v>
      </c>
      <c r="S112" s="5" t="str">
        <f>IF(Table2[[#This Row],[!Type]]=S$1, S$1,"rg:None")</f>
        <v>table</v>
      </c>
      <c r="T112" s="8" t="str">
        <f>IF(LEN(Table2[[#This Row],[!Length]]) &gt; 0, Table2[[#This Row],[!Length]], "rg:None")</f>
        <v>rg:None</v>
      </c>
      <c r="U112" s="8" t="str">
        <f>IF(LEN(Table2[[#This Row],[!Name]]) &gt; 0, Table2[[#This Row],[!Name]], "rg:None")</f>
        <v>UserFavourite</v>
      </c>
      <c r="V112" s="8" t="str">
        <f>IF(LEN(Table2[[#This Row],[!Description]]) &gt; 0, Table2[[#This Row],[!Description]], "rg:None")</f>
        <v>User specific settings for a specific location in the UI. The location and saved settings are internally defined by the UI.</v>
      </c>
      <c r="W112" s="8" t="str">
        <f>IF(LEN(Table2[[#This Row],[!FK]])&gt;0,Table2[[#This Row],[!FK]],"rg:None")</f>
        <v>rg:None</v>
      </c>
      <c r="X112" s="8" t="str">
        <f>IF(LEN(concatif2(A:A,Table2[[#This Row],[!Table]],G:G,"Y",D:D,",")) &gt; 0,"rg:[ { 'req' : '"&amp;concatif2(A:A,Table2[[#This Row],[!Table]],G:G,"Y",D:D,"' }, { 'req': '")&amp;"'} ]","rg:[]")</f>
        <v>rg:[ { 'req' : 'id' }, { 'req': 'userFK'} ]</v>
      </c>
      <c r="Y112" s="8" t="str">
        <f>IF(LEN(Table2[[#This Row],[!Unique]])&gt;0,IF(Table2[[#This Row],[!Type]] = "id", "rg:None","rg:True"),"rg:None")</f>
        <v>rg:None</v>
      </c>
    </row>
    <row r="113" spans="1:25" s="4" customFormat="1" ht="28.8" x14ac:dyDescent="0.3">
      <c r="A113" s="5" t="s">
        <v>21</v>
      </c>
      <c r="B113" s="5" t="s">
        <v>6</v>
      </c>
      <c r="C113" s="5"/>
      <c r="D113" s="5" t="s">
        <v>6</v>
      </c>
      <c r="E113" s="68" t="s">
        <v>234</v>
      </c>
      <c r="F113" s="5" t="s">
        <v>5</v>
      </c>
      <c r="G113" s="4" t="s">
        <v>38</v>
      </c>
      <c r="H113" s="20" t="s">
        <v>38</v>
      </c>
      <c r="I113" s="5" t="str">
        <f t="shared" si="1"/>
        <v>Defs</v>
      </c>
      <c r="J113" s="8" t="str">
        <f>IF(Table2[[#This Row],[!Type]]=J$1, J$1,"rg:None")</f>
        <v>rg:None</v>
      </c>
      <c r="K113" s="8" t="str">
        <f>IF(Table2[[#This Row],[!Type]]=K$1, K$1,"rg:None")</f>
        <v>rg:None</v>
      </c>
      <c r="L113" s="8" t="str">
        <f>IF(Table2[[#This Row],[!Type]]=L$1, L$1,"rg:None")</f>
        <v>rg:None</v>
      </c>
      <c r="M113" s="8" t="str">
        <f>IF(Table2[[#This Row],[!Type]]=M$1, M$1,"rg:None")</f>
        <v>id</v>
      </c>
      <c r="N113" s="8" t="str">
        <f>IF(Table2[[#This Row],[!Type]]=N$1, N$1,"rg:None")</f>
        <v>rg:None</v>
      </c>
      <c r="O113" s="8" t="str">
        <f>IF(Table2[[#This Row],[!Type]]=O$1, O$1,"rg:None")</f>
        <v>rg:None</v>
      </c>
      <c r="P113" s="5" t="str">
        <f>IF(Table2[[#This Row],[!Type]]=P$1, P$1,"rg:None")</f>
        <v>rg:None</v>
      </c>
      <c r="Q113" s="5" t="str">
        <f>IF(Table2[[#This Row],[!Type]]=Q$1, Q$1,"rg:None")</f>
        <v>rg:None</v>
      </c>
      <c r="R113" s="5" t="str">
        <f>IF(Table2[[#This Row],[!Type]]=R$1, R$1,"rg:None")</f>
        <v>rg:None</v>
      </c>
      <c r="S113" s="5" t="str">
        <f>IF(Table2[[#This Row],[!Type]]=S$1, S$1,"rg:None")</f>
        <v>rg:None</v>
      </c>
      <c r="T113" s="8" t="str">
        <f>IF(LEN(Table2[[#This Row],[!Length]]) &gt; 0, Table2[[#This Row],[!Length]], "rg:None")</f>
        <v>rg:None</v>
      </c>
      <c r="U113" s="8" t="str">
        <f>IF(LEN(Table2[[#This Row],[!Name]]) &gt; 0, Table2[[#This Row],[!Name]], "rg:None")</f>
        <v>id</v>
      </c>
      <c r="V113" s="8" t="str">
        <f>IF(LEN(Table2[[#This Row],[!Description]]) &gt; 0, Table2[[#This Row],[!Description]], "rg:None")</f>
        <v>A system-generated unique identifier for a User Favourite.</v>
      </c>
      <c r="W113" s="8" t="str">
        <f>IF(LEN(Table2[[#This Row],[!FK]])&gt;0,Table2[[#This Row],[!FK]],"rg:None")</f>
        <v>rg:None</v>
      </c>
      <c r="X113" s="8" t="str">
        <f>IF(LEN(concatif2(A:A,Table2[[#This Row],[!Table]],G:G,"Y",D:D,",")) &gt; 0,"rg:[ { 'req' : '"&amp;concatif2(A:A,Table2[[#This Row],[!Table]],G:G,"Y",D:D,"' }, { 'req': '")&amp;"'} ]","rg:[]")</f>
        <v>rg:[ { 'req' : 'id' }, { 'req': 'userFK'} ]</v>
      </c>
      <c r="Y113" s="8" t="str">
        <f>IF(LEN(Table2[[#This Row],[!Unique]])&gt;0,IF(Table2[[#This Row],[!Type]] = "id", "rg:None","rg:True"),"rg:None")</f>
        <v>rg:None</v>
      </c>
    </row>
    <row r="114" spans="1:25" s="4" customFormat="1" ht="28.8" customHeight="1" x14ac:dyDescent="0.3">
      <c r="A114" s="5" t="s">
        <v>21</v>
      </c>
      <c r="B114" s="5" t="s">
        <v>7</v>
      </c>
      <c r="C114" s="5">
        <v>200</v>
      </c>
      <c r="D114" s="44" t="s">
        <v>146</v>
      </c>
      <c r="E114" s="68" t="s">
        <v>147</v>
      </c>
      <c r="F114" s="6"/>
      <c r="G114" s="14"/>
      <c r="H114" s="14"/>
      <c r="I114" s="4" t="str">
        <f>IF(LEN(A114) &gt; 0,"Defs","-")</f>
        <v>Defs</v>
      </c>
      <c r="J114" s="13" t="str">
        <f>IF(Table2[[#This Row],[!Type]]=J$1, J$1,"rg:None")</f>
        <v>rg:None</v>
      </c>
      <c r="K114" s="13" t="str">
        <f>IF(Table2[[#This Row],[!Type]]=K$1, K$1,"rg:None")</f>
        <v>rg:None</v>
      </c>
      <c r="L114" s="13" t="str">
        <f>IF(Table2[[#This Row],[!Type]]=L$1, L$1,"rg:None")</f>
        <v>rg:None</v>
      </c>
      <c r="M114" s="13" t="str">
        <f>IF(Table2[[#This Row],[!Type]]=M$1, M$1,"rg:None")</f>
        <v>rg:None</v>
      </c>
      <c r="N114" s="13" t="str">
        <f>IF(Table2[[#This Row],[!Type]]=N$1, N$1,"rg:None")</f>
        <v>rg:None</v>
      </c>
      <c r="O114" s="13"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13">
        <f>IF(LEN(Table2[[#This Row],[!Length]]) &gt; 0, Table2[[#This Row],[!Length]], "rg:None")</f>
        <v>200</v>
      </c>
      <c r="U114" s="13" t="str">
        <f>IF(LEN(Table2[[#This Row],[!Name]]) &gt; 0, Table2[[#This Row],[!Name]], "rg:None")</f>
        <v>context</v>
      </c>
      <c r="V114" s="13" t="str">
        <f>IF(LEN(Table2[[#This Row],[!Description]]) &gt; 0, Table2[[#This Row],[!Description]], "rg:None")</f>
        <v>The context (as defined by the UI) in the application to which this favourite applies.</v>
      </c>
      <c r="W114" s="13" t="str">
        <f>IF(LEN(Table2[[#This Row],[!FK]])&gt;0,Table2[[#This Row],[!FK]],"rg:None")</f>
        <v>rg:None</v>
      </c>
      <c r="X114" s="13" t="str">
        <f>IF(LEN(concatif2(A:A,Table2[[#This Row],[!Table]],G:G,"Y",D:D,",")) &gt; 0,"rg:[ { 'req' : '"&amp;concatif2(A:A,Table2[[#This Row],[!Table]],G:G,"Y",D:D,"' }, { 'req': '")&amp;"'} ]","rg:[]")</f>
        <v>rg:[ { 'req' : 'id' }, { 'req': 'userFK'} ]</v>
      </c>
      <c r="Y114" s="13" t="str">
        <f>IF(LEN(Table2[[#This Row],[!Unique]])&gt;0,IF(Table2[[#This Row],[!Type]] = "id", "rg:None","rg:True"),"rg:None")</f>
        <v>rg:None</v>
      </c>
    </row>
    <row r="115" spans="1:25" s="4" customFormat="1" ht="43.2" customHeight="1" x14ac:dyDescent="0.3">
      <c r="A115" s="5" t="s">
        <v>21</v>
      </c>
      <c r="B115" s="5" t="s">
        <v>7</v>
      </c>
      <c r="C115" s="5">
        <v>200</v>
      </c>
      <c r="D115" s="5" t="s">
        <v>14</v>
      </c>
      <c r="E115" s="68" t="s">
        <v>173</v>
      </c>
      <c r="F115" s="5" t="s">
        <v>5</v>
      </c>
      <c r="I115" s="5" t="str">
        <f t="shared" si="1"/>
        <v>Defs</v>
      </c>
      <c r="J115" s="8" t="str">
        <f>IF(Table2[[#This Row],[!Type]]=J$1, J$1,"rg:None")</f>
        <v>rg:None</v>
      </c>
      <c r="K115" s="8" t="str">
        <f>IF(Table2[[#This Row],[!Type]]=K$1, K$1,"rg:None")</f>
        <v>rg:None</v>
      </c>
      <c r="L115" s="8" t="str">
        <f>IF(Table2[[#This Row],[!Type]]=L$1, L$1,"rg:None")</f>
        <v>rg:None</v>
      </c>
      <c r="M115" s="8" t="str">
        <f>IF(Table2[[#This Row],[!Type]]=M$1, M$1,"rg:None")</f>
        <v>rg:None</v>
      </c>
      <c r="N115" s="8" t="str">
        <f>IF(Table2[[#This Row],[!Type]]=N$1, N$1,"rg:None")</f>
        <v>rg:None</v>
      </c>
      <c r="O115" s="8" t="str">
        <f>IF(Table2[[#This Row],[!Type]]=O$1, O$1,"rg:None")</f>
        <v>rg:None</v>
      </c>
      <c r="P115" s="5" t="str">
        <f>IF(Table2[[#This Row],[!Type]]=P$1, P$1,"rg:None")</f>
        <v>rg:None</v>
      </c>
      <c r="Q115" s="5" t="str">
        <f>IF(Table2[[#This Row],[!Type]]=Q$1, Q$1,"rg:None")</f>
        <v>rg:None</v>
      </c>
      <c r="R115" s="5" t="str">
        <f>IF(Table2[[#This Row],[!Type]]=R$1, R$1,"rg:None")</f>
        <v>string</v>
      </c>
      <c r="S115" s="5" t="str">
        <f>IF(Table2[[#This Row],[!Type]]=S$1, S$1,"rg:None")</f>
        <v>rg:None</v>
      </c>
      <c r="T115" s="8">
        <f>IF(LEN(Table2[[#This Row],[!Length]]) &gt; 0, Table2[[#This Row],[!Length]], "rg:None")</f>
        <v>200</v>
      </c>
      <c r="U115" s="8" t="str">
        <f>IF(LEN(Table2[[#This Row],[!Name]]) &gt; 0, Table2[[#This Row],[!Name]], "rg:None")</f>
        <v>name</v>
      </c>
      <c r="V115" s="8" t="str">
        <f>IF(LEN(Table2[[#This Row],[!Description]]) &gt; 0, Table2[[#This Row],[!Description]], "rg:None")</f>
        <v>The user-defined name for the recorded settings. Allows the user to save dipportunityent groups of settings and access each one easily when needed.</v>
      </c>
      <c r="W115" s="8" t="str">
        <f>IF(LEN(Table2[[#This Row],[!FK]])&gt;0,Table2[[#This Row],[!FK]],"rg:None")</f>
        <v>rg:None</v>
      </c>
      <c r="X115" s="8" t="str">
        <f>IF(LEN(concatif2(A:A,Table2[[#This Row],[!Table]],G:G,"Y",D:D,",")) &gt; 0,"rg:[ { 'req' : '"&amp;concatif2(A:A,Table2[[#This Row],[!Table]],G:G,"Y",D:D,"' }, { 'req': '")&amp;"'} ]","rg:[]")</f>
        <v>rg:[ { 'req' : 'id' }, { 'req': 'userFK'} ]</v>
      </c>
      <c r="Y115" s="8" t="str">
        <f>IF(LEN(Table2[[#This Row],[!Unique]])&gt;0,IF(Table2[[#This Row],[!Type]] = "id", "rg:None","rg:True"),"rg:None")</f>
        <v>rg:None</v>
      </c>
    </row>
    <row r="116" spans="1:25" s="4" customFormat="1" ht="43.2" customHeight="1" x14ac:dyDescent="0.3">
      <c r="A116" s="5" t="s">
        <v>21</v>
      </c>
      <c r="B116" s="5" t="s">
        <v>7</v>
      </c>
      <c r="C116" s="5">
        <v>8000</v>
      </c>
      <c r="D116" s="17" t="s">
        <v>22</v>
      </c>
      <c r="E116" s="68" t="s">
        <v>23</v>
      </c>
      <c r="F116" s="5" t="s">
        <v>5</v>
      </c>
      <c r="I116" s="5" t="str">
        <f t="shared" si="1"/>
        <v>Defs</v>
      </c>
      <c r="J116" s="8" t="str">
        <f>IF(Table2[[#This Row],[!Type]]=J$1, J$1,"rg:None")</f>
        <v>rg:None</v>
      </c>
      <c r="K116" s="8" t="str">
        <f>IF(Table2[[#This Row],[!Type]]=K$1, K$1,"rg:None")</f>
        <v>rg:None</v>
      </c>
      <c r="L116" s="8" t="str">
        <f>IF(Table2[[#This Row],[!Type]]=L$1, L$1,"rg:None")</f>
        <v>rg:None</v>
      </c>
      <c r="M116" s="8" t="str">
        <f>IF(Table2[[#This Row],[!Type]]=M$1, M$1,"rg:None")</f>
        <v>rg:None</v>
      </c>
      <c r="N116" s="8" t="str">
        <f>IF(Table2[[#This Row],[!Type]]=N$1, N$1,"rg:None")</f>
        <v>rg:None</v>
      </c>
      <c r="O116" s="8"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8">
        <f>IF(LEN(Table2[[#This Row],[!Length]]) &gt; 0, Table2[[#This Row],[!Length]], "rg:None")</f>
        <v>8000</v>
      </c>
      <c r="U116" s="8" t="str">
        <f>IF(LEN(Table2[[#This Row],[!Name]]) &gt; 0, Table2[[#This Row],[!Name]], "rg:None")</f>
        <v>value</v>
      </c>
      <c r="V116" s="8" t="str">
        <f>IF(LEN(Table2[[#This Row],[!Description]]) &gt; 0, Table2[[#This Row],[!Description]], "rg:None")</f>
        <v>The settings saved by the user. In general,  a UI defined chunk of json that stores the settings in place when the user created the favourite.</v>
      </c>
      <c r="W116" s="8" t="str">
        <f>IF(LEN(Table2[[#This Row],[!FK]])&gt;0,Table2[[#This Row],[!FK]],"rg:None")</f>
        <v>rg:None</v>
      </c>
      <c r="X116" s="8" t="str">
        <f>IF(LEN(concatif2(A:A,Table2[[#This Row],[!Table]],G:G,"Y",D:D,",")) &gt; 0,"rg:[ { 'req' : '"&amp;concatif2(A:A,Table2[[#This Row],[!Table]],G:G,"Y",D:D,"' }, { 'req': '")&amp;"'} ]","rg:[]")</f>
        <v>rg:[ { 'req' : 'id' }, { 'req': 'userFK'} ]</v>
      </c>
      <c r="Y116" s="8" t="str">
        <f>IF(LEN(Table2[[#This Row],[!Unique]])&gt;0,IF(Table2[[#This Row],[!Type]] = "id", "rg:None","rg:True"),"rg:None")</f>
        <v>rg:None</v>
      </c>
    </row>
    <row r="117" spans="1:25" s="4" customFormat="1" ht="86.4" customHeight="1" x14ac:dyDescent="0.3">
      <c r="A117" s="5" t="s">
        <v>21</v>
      </c>
      <c r="B117" s="5" t="s">
        <v>10</v>
      </c>
      <c r="C117" s="5"/>
      <c r="D117" s="5" t="s">
        <v>24</v>
      </c>
      <c r="E117" s="68" t="s">
        <v>25</v>
      </c>
      <c r="F117" s="5" t="s">
        <v>5</v>
      </c>
      <c r="I117" s="5" t="str">
        <f t="shared" si="1"/>
        <v>Defs</v>
      </c>
      <c r="J117" s="8" t="str">
        <f>IF(Table2[[#This Row],[!Type]]=J$1, J$1,"rg:None")</f>
        <v>boolean</v>
      </c>
      <c r="K117" s="8" t="str">
        <f>IF(Table2[[#This Row],[!Type]]=K$1, K$1,"rg:None")</f>
        <v>rg:None</v>
      </c>
      <c r="L117" s="8" t="str">
        <f>IF(Table2[[#This Row],[!Type]]=L$1, L$1,"rg:None")</f>
        <v>rg:None</v>
      </c>
      <c r="M117" s="8" t="str">
        <f>IF(Table2[[#This Row],[!Type]]=M$1, M$1,"rg:None")</f>
        <v>rg:None</v>
      </c>
      <c r="N117" s="8" t="str">
        <f>IF(Table2[[#This Row],[!Type]]=N$1, N$1,"rg:None")</f>
        <v>rg:None</v>
      </c>
      <c r="O117" s="8" t="str">
        <f>IF(Table2[[#This Row],[!Type]]=O$1, O$1,"rg:None")</f>
        <v>rg:None</v>
      </c>
      <c r="P117" s="5" t="str">
        <f>IF(Table2[[#This Row],[!Type]]=P$1, P$1,"rg:None")</f>
        <v>rg:None</v>
      </c>
      <c r="Q117" s="5" t="str">
        <f>IF(Table2[[#This Row],[!Type]]=Q$1, Q$1,"rg:None")</f>
        <v>rg:None</v>
      </c>
      <c r="R117" s="5" t="str">
        <f>IF(Table2[[#This Row],[!Type]]=R$1, R$1,"rg:None")</f>
        <v>rg:None</v>
      </c>
      <c r="S117" s="5" t="str">
        <f>IF(Table2[[#This Row],[!Type]]=S$1, S$1,"rg:None")</f>
        <v>rg:None</v>
      </c>
      <c r="T117" s="8" t="str">
        <f>IF(LEN(Table2[[#This Row],[!Length]]) &gt; 0, Table2[[#This Row],[!Length]], "rg:None")</f>
        <v>rg:None</v>
      </c>
      <c r="U117" s="8" t="str">
        <f>IF(LEN(Table2[[#This Row],[!Name]]) &gt; 0, Table2[[#This Row],[!Name]], "rg:None")</f>
        <v>isDefault</v>
      </c>
      <c r="V117"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17" s="8" t="str">
        <f>IF(LEN(Table2[[#This Row],[!FK]])&gt;0,Table2[[#This Row],[!FK]],"rg:None")</f>
        <v>rg:None</v>
      </c>
      <c r="X117" s="8" t="str">
        <f>IF(LEN(concatif2(A:A,Table2[[#This Row],[!Table]],G:G,"Y",D:D,",")) &gt; 0,"rg:[ { 'req' : '"&amp;concatif2(A:A,Table2[[#This Row],[!Table]],G:G,"Y",D:D,"' }, { 'req': '")&amp;"'} ]","rg:[]")</f>
        <v>rg:[ { 'req' : 'id' }, { 'req': 'userFK'} ]</v>
      </c>
      <c r="Y117" s="8" t="str">
        <f>IF(LEN(Table2[[#This Row],[!Unique]])&gt;0,IF(Table2[[#This Row],[!Type]] = "id", "rg:None","rg:True"),"rg:None")</f>
        <v>rg:None</v>
      </c>
    </row>
    <row r="118" spans="1:25" s="4" customFormat="1" ht="16.05" customHeight="1" x14ac:dyDescent="0.3">
      <c r="A118" s="15" t="s">
        <v>21</v>
      </c>
      <c r="B118" s="5" t="s">
        <v>8</v>
      </c>
      <c r="C118" s="5"/>
      <c r="D118" s="82" t="s">
        <v>325</v>
      </c>
      <c r="E118" s="68" t="s">
        <v>228</v>
      </c>
      <c r="F118" s="16" t="s">
        <v>0</v>
      </c>
      <c r="G118" s="67" t="s">
        <v>38</v>
      </c>
      <c r="H118" s="14"/>
      <c r="I118" s="4" t="str">
        <f>IF(LEN(A118) &gt; 0,"Defs","-")</f>
        <v>Defs</v>
      </c>
      <c r="J118" s="13" t="str">
        <f>IF(Table2[[#This Row],[!Type]]=J$1, J$1,"rg:None")</f>
        <v>rg:None</v>
      </c>
      <c r="K118" s="13" t="str">
        <f>IF(Table2[[#This Row],[!Type]]=K$1, K$1,"rg:None")</f>
        <v>rg:None</v>
      </c>
      <c r="L118" s="13" t="str">
        <f>IF(Table2[[#This Row],[!Type]]=L$1, L$1,"rg:None")</f>
        <v>rg:None</v>
      </c>
      <c r="M118" s="13" t="str">
        <f>IF(Table2[[#This Row],[!Type]]=M$1, M$1,"rg:None")</f>
        <v>rg:None</v>
      </c>
      <c r="N118" s="13" t="str">
        <f>IF(Table2[[#This Row],[!Type]]=N$1, N$1,"rg:None")</f>
        <v>rg:None</v>
      </c>
      <c r="O118" s="13" t="str">
        <f>IF(Table2[[#This Row],[!Type]]=O$1, O$1,"rg:None")</f>
        <v>rg:None</v>
      </c>
      <c r="P118" s="4" t="str">
        <f>IF(Table2[[#This Row],[!Type]]=P$1, P$1,"rg:None")</f>
        <v>rg:None</v>
      </c>
      <c r="Q118" s="4" t="str">
        <f>IF(Table2[[#This Row],[!Type]]=Q$1, Q$1,"rg:None")</f>
        <v>ref</v>
      </c>
      <c r="R118" s="4" t="str">
        <f>IF(Table2[[#This Row],[!Type]]=R$1, R$1,"rg:None")</f>
        <v>rg:None</v>
      </c>
      <c r="S118" s="4" t="str">
        <f>IF(Table2[[#This Row],[!Type]]=S$1, S$1,"rg:None")</f>
        <v>rg:None</v>
      </c>
      <c r="T118" s="13" t="str">
        <f>IF(LEN(Table2[[#This Row],[!Length]]) &gt; 0, Table2[[#This Row],[!Length]], "rg:None")</f>
        <v>rg:None</v>
      </c>
      <c r="U118" s="13" t="str">
        <f>IF(LEN(Table2[[#This Row],[!Name]]) &gt; 0, Table2[[#This Row],[!Name]], "rg:None")</f>
        <v>userFK</v>
      </c>
      <c r="V118" s="13" t="str">
        <f>IF(LEN(Table2[[#This Row],[!Description]]) &gt; 0, Table2[[#This Row],[!Description]], "rg:None")</f>
        <v>A foreign key reference to a User.</v>
      </c>
      <c r="W118" s="13" t="str">
        <f>IF(LEN(Table2[[#This Row],[!FK]])&gt;0,Table2[[#This Row],[!FK]],"rg:None")</f>
        <v>User</v>
      </c>
      <c r="X118" s="13" t="str">
        <f>IF(LEN(concatif2(A:A,Table2[[#This Row],[!Table]],G:G,"Y",D:D,",")) &gt; 0,"rg:[ { 'req' : '"&amp;concatif2(A:A,Table2[[#This Row],[!Table]],G:G,"Y",D:D,"' }, { 'req': '")&amp;"'} ]","rg:[]")</f>
        <v>rg:[ { 'req' : 'id' }, { 'req': 'userFK'} ]</v>
      </c>
      <c r="Y118" s="13" t="str">
        <f>IF(LEN(Table2[[#This Row],[!Unique]])&gt;0,IF(Table2[[#This Row],[!Type]] = "id", "rg:None","rg:True"),"rg:None")</f>
        <v>rg:None</v>
      </c>
    </row>
    <row r="119" spans="1:25" s="4" customFormat="1" ht="144" customHeight="1" x14ac:dyDescent="0.3">
      <c r="A119" s="5" t="s">
        <v>26</v>
      </c>
      <c r="B119" s="5" t="s">
        <v>4</v>
      </c>
      <c r="C119" s="5"/>
      <c r="D119" s="5" t="s">
        <v>26</v>
      </c>
      <c r="E119" s="68" t="s">
        <v>83</v>
      </c>
      <c r="F119" s="5" t="s">
        <v>5</v>
      </c>
      <c r="I119" s="5" t="str">
        <f t="shared" si="1"/>
        <v>Defs</v>
      </c>
      <c r="J119" s="8" t="str">
        <f>IF(Table2[[#This Row],[!Type]]=J$1, J$1,"rg:None")</f>
        <v>rg:None</v>
      </c>
      <c r="K119" s="8" t="str">
        <f>IF(Table2[[#This Row],[!Type]]=K$1, K$1,"rg:None")</f>
        <v>rg:None</v>
      </c>
      <c r="L119" s="8" t="str">
        <f>IF(Table2[[#This Row],[!Type]]=L$1, L$1,"rg:None")</f>
        <v>rg:None</v>
      </c>
      <c r="M119" s="8" t="str">
        <f>IF(Table2[[#This Row],[!Type]]=M$1, M$1,"rg:None")</f>
        <v>rg:None</v>
      </c>
      <c r="N119" s="8" t="str">
        <f>IF(Table2[[#This Row],[!Type]]=N$1, N$1,"rg:None")</f>
        <v>rg:None</v>
      </c>
      <c r="O119" s="8" t="str">
        <f>IF(Table2[[#This Row],[!Type]]=O$1, O$1,"rg:None")</f>
        <v>rg:None</v>
      </c>
      <c r="P119" s="5" t="str">
        <f>IF(Table2[[#This Row],[!Type]]=P$1, P$1,"rg:None")</f>
        <v>rg:None</v>
      </c>
      <c r="Q119" s="5" t="str">
        <f>IF(Table2[[#This Row],[!Type]]=Q$1, Q$1,"rg:None")</f>
        <v>rg:None</v>
      </c>
      <c r="R119" s="5" t="str">
        <f>IF(Table2[[#This Row],[!Type]]=R$1, R$1,"rg:None")</f>
        <v>rg:None</v>
      </c>
      <c r="S119" s="5" t="str">
        <f>IF(Table2[[#This Row],[!Type]]=S$1, S$1,"rg:None")</f>
        <v>table</v>
      </c>
      <c r="T119" s="8" t="str">
        <f>IF(LEN(Table2[[#This Row],[!Length]]) &gt; 0, Table2[[#This Row],[!Length]], "rg:None")</f>
        <v>rg:None</v>
      </c>
      <c r="U119" s="8" t="str">
        <f>IF(LEN(Table2[[#This Row],[!Name]]) &gt; 0, Table2[[#This Row],[!Name]], "rg:None")</f>
        <v>Notification</v>
      </c>
      <c r="V119" s="8"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19" s="8" t="str">
        <f>IF(LEN(Table2[[#This Row],[!FK]])&gt;0,Table2[[#This Row],[!FK]],"rg:None")</f>
        <v>rg:None</v>
      </c>
      <c r="X119" s="8" t="str">
        <f>IF(LEN(concatif2(A:A,Table2[[#This Row],[!Table]],G:G,"Y",D:D,",")) &gt; 0,"rg:[ { 'req' : '"&amp;concatif2(A:A,Table2[[#This Row],[!Table]],G:G,"Y",D:D,"' }, { 'req': '")&amp;"'} ]","rg:[]")</f>
        <v>rg:[ { 'req' : 'id' }, { 'req': 'notificationEventFK' }, { 'req': 'userFK'} ]</v>
      </c>
      <c r="Y119" s="8" t="str">
        <f>IF(LEN(Table2[[#This Row],[!Unique]])&gt;0,IF(Table2[[#This Row],[!Type]] = "id", "rg:None","rg:True"),"rg:None")</f>
        <v>rg:None</v>
      </c>
    </row>
    <row r="120" spans="1:25" s="4" customFormat="1" ht="28.8" x14ac:dyDescent="0.3">
      <c r="A120" s="5" t="s">
        <v>26</v>
      </c>
      <c r="B120" s="5" t="s">
        <v>6</v>
      </c>
      <c r="C120" s="5"/>
      <c r="D120" s="5" t="s">
        <v>6</v>
      </c>
      <c r="E120" s="68" t="s">
        <v>235</v>
      </c>
      <c r="F120" s="5" t="s">
        <v>5</v>
      </c>
      <c r="G120" s="4" t="s">
        <v>38</v>
      </c>
      <c r="H120" s="20" t="s">
        <v>38</v>
      </c>
      <c r="I120" s="5" t="str">
        <f t="shared" si="1"/>
        <v>Defs</v>
      </c>
      <c r="J120" s="8" t="str">
        <f>IF(Table2[[#This Row],[!Type]]=J$1, J$1,"rg:None")</f>
        <v>rg:None</v>
      </c>
      <c r="K120" s="8" t="str">
        <f>IF(Table2[[#This Row],[!Type]]=K$1, K$1,"rg:None")</f>
        <v>rg:None</v>
      </c>
      <c r="L120" s="8" t="str">
        <f>IF(Table2[[#This Row],[!Type]]=L$1, L$1,"rg:None")</f>
        <v>rg:None</v>
      </c>
      <c r="M120" s="8" t="str">
        <f>IF(Table2[[#This Row],[!Type]]=M$1, M$1,"rg:None")</f>
        <v>id</v>
      </c>
      <c r="N120" s="8" t="str">
        <f>IF(Table2[[#This Row],[!Type]]=N$1, N$1,"rg:None")</f>
        <v>rg:None</v>
      </c>
      <c r="O120" s="8" t="str">
        <f>IF(Table2[[#This Row],[!Type]]=O$1, O$1,"rg:None")</f>
        <v>rg:None</v>
      </c>
      <c r="P120" s="5" t="str">
        <f>IF(Table2[[#This Row],[!Type]]=P$1, P$1,"rg:None")</f>
        <v>rg:None</v>
      </c>
      <c r="Q120" s="5" t="str">
        <f>IF(Table2[[#This Row],[!Type]]=Q$1, Q$1,"rg:None")</f>
        <v>rg:None</v>
      </c>
      <c r="R120" s="5" t="str">
        <f>IF(Table2[[#This Row],[!Type]]=R$1, R$1,"rg:None")</f>
        <v>rg:None</v>
      </c>
      <c r="S120" s="5" t="str">
        <f>IF(Table2[[#This Row],[!Type]]=S$1, S$1,"rg:None")</f>
        <v>rg:None</v>
      </c>
      <c r="T120" s="8" t="str">
        <f>IF(LEN(Table2[[#This Row],[!Length]]) &gt; 0, Table2[[#This Row],[!Length]], "rg:None")</f>
        <v>rg:None</v>
      </c>
      <c r="U120" s="8" t="str">
        <f>IF(LEN(Table2[[#This Row],[!Name]]) &gt; 0, Table2[[#This Row],[!Name]], "rg:None")</f>
        <v>id</v>
      </c>
      <c r="V120" s="8" t="str">
        <f>IF(LEN(Table2[[#This Row],[!Description]]) &gt; 0, Table2[[#This Row],[!Description]], "rg:None")</f>
        <v>A system-generated unique identifier for a Notification.</v>
      </c>
      <c r="W120" s="8" t="str">
        <f>IF(LEN(Table2[[#This Row],[!FK]])&gt;0,Table2[[#This Row],[!FK]],"rg:None")</f>
        <v>rg:None</v>
      </c>
      <c r="X120" s="8" t="str">
        <f>IF(LEN(concatif2(A:A,Table2[[#This Row],[!Table]],G:G,"Y",D:D,",")) &gt; 0,"rg:[ { 'req' : '"&amp;concatif2(A:A,Table2[[#This Row],[!Table]],G:G,"Y",D:D,"' }, { 'req': '")&amp;"'} ]","rg:[]")</f>
        <v>rg:[ { 'req' : 'id' }, { 'req': 'notificationEventFK' }, { 'req': 'userFK'} ]</v>
      </c>
      <c r="Y120" s="8" t="str">
        <f>IF(LEN(Table2[[#This Row],[!Unique]])&gt;0,IF(Table2[[#This Row],[!Type]] = "id", "rg:None","rg:True"),"rg:None")</f>
        <v>rg:None</v>
      </c>
    </row>
    <row r="121" spans="1:25" s="4" customFormat="1" ht="16.05" customHeight="1" x14ac:dyDescent="0.3">
      <c r="A121" s="5" t="s">
        <v>26</v>
      </c>
      <c r="B121" s="5" t="s">
        <v>8</v>
      </c>
      <c r="C121" s="5"/>
      <c r="D121" s="82" t="s">
        <v>332</v>
      </c>
      <c r="E121" s="68" t="s">
        <v>236</v>
      </c>
      <c r="F121" s="5" t="s">
        <v>27</v>
      </c>
      <c r="G121" s="70" t="s">
        <v>38</v>
      </c>
      <c r="I121" s="5" t="str">
        <f t="shared" si="1"/>
        <v>Defs</v>
      </c>
      <c r="J121" s="8" t="str">
        <f>IF(Table2[[#This Row],[!Type]]=J$1, J$1,"rg:None")</f>
        <v>rg:None</v>
      </c>
      <c r="K121" s="8" t="str">
        <f>IF(Table2[[#This Row],[!Type]]=K$1, K$1,"rg:None")</f>
        <v>rg:None</v>
      </c>
      <c r="L121" s="8" t="str">
        <f>IF(Table2[[#This Row],[!Type]]=L$1, L$1,"rg:None")</f>
        <v>rg:None</v>
      </c>
      <c r="M121" s="8" t="str">
        <f>IF(Table2[[#This Row],[!Type]]=M$1, M$1,"rg:None")</f>
        <v>rg:None</v>
      </c>
      <c r="N121" s="8" t="str">
        <f>IF(Table2[[#This Row],[!Type]]=N$1, N$1,"rg:None")</f>
        <v>rg:None</v>
      </c>
      <c r="O121" s="8" t="str">
        <f>IF(Table2[[#This Row],[!Type]]=O$1, O$1,"rg:None")</f>
        <v>rg:None</v>
      </c>
      <c r="P121" s="5" t="str">
        <f>IF(Table2[[#This Row],[!Type]]=P$1, P$1,"rg:None")</f>
        <v>rg:None</v>
      </c>
      <c r="Q121" s="5" t="str">
        <f>IF(Table2[[#This Row],[!Type]]=Q$1, Q$1,"rg:None")</f>
        <v>ref</v>
      </c>
      <c r="R121" s="5" t="str">
        <f>IF(Table2[[#This Row],[!Type]]=R$1, R$1,"rg:None")</f>
        <v>rg:None</v>
      </c>
      <c r="S121" s="5" t="str">
        <f>IF(Table2[[#This Row],[!Type]]=S$1, S$1,"rg:None")</f>
        <v>rg:None</v>
      </c>
      <c r="T121" s="8" t="str">
        <f>IF(LEN(Table2[[#This Row],[!Length]]) &gt; 0, Table2[[#This Row],[!Length]], "rg:None")</f>
        <v>rg:None</v>
      </c>
      <c r="U121" s="8" t="str">
        <f>IF(LEN(Table2[[#This Row],[!Name]]) &gt; 0, Table2[[#This Row],[!Name]], "rg:None")</f>
        <v>notificationEventFK</v>
      </c>
      <c r="V121" s="8" t="str">
        <f>IF(LEN(Table2[[#This Row],[!Description]]) &gt; 0, Table2[[#This Row],[!Description]], "rg:None")</f>
        <v>A foreign key reference to a NotificationEvent.</v>
      </c>
      <c r="W121" s="8" t="str">
        <f>IF(LEN(Table2[[#This Row],[!FK]])&gt;0,Table2[[#This Row],[!FK]],"rg:None")</f>
        <v>NotificationEvent</v>
      </c>
      <c r="X121" s="8" t="str">
        <f>IF(LEN(concatif2(A:A,Table2[[#This Row],[!Table]],G:G,"Y",D:D,",")) &gt; 0,"rg:[ { 'req' : '"&amp;concatif2(A:A,Table2[[#This Row],[!Table]],G:G,"Y",D:D,"' }, { 'req': '")&amp;"'} ]","rg:[]")</f>
        <v>rg:[ { 'req' : 'id' }, { 'req': 'notificationEventFK' }, { 'req': 'userFK'} ]</v>
      </c>
      <c r="Y121" s="8" t="str">
        <f>IF(LEN(Table2[[#This Row],[!Unique]])&gt;0,IF(Table2[[#This Row],[!Type]] = "id", "rg:None","rg:True"),"rg:None")</f>
        <v>rg:None</v>
      </c>
    </row>
    <row r="122" spans="1:25" s="4" customFormat="1" ht="28.8" customHeight="1" x14ac:dyDescent="0.3">
      <c r="A122" s="5" t="s">
        <v>26</v>
      </c>
      <c r="B122" s="5" t="s">
        <v>10</v>
      </c>
      <c r="C122" s="5"/>
      <c r="D122" s="5" t="s">
        <v>28</v>
      </c>
      <c r="E122" s="68" t="s">
        <v>237</v>
      </c>
      <c r="F122" s="5" t="s">
        <v>5</v>
      </c>
      <c r="I122" s="5" t="str">
        <f t="shared" si="1"/>
        <v>Defs</v>
      </c>
      <c r="J122" s="8" t="str">
        <f>IF(Table2[[#This Row],[!Type]]=J$1, J$1,"rg:None")</f>
        <v>boolean</v>
      </c>
      <c r="K122" s="8" t="str">
        <f>IF(Table2[[#This Row],[!Type]]=K$1, K$1,"rg:None")</f>
        <v>rg:None</v>
      </c>
      <c r="L122" s="8" t="str">
        <f>IF(Table2[[#This Row],[!Type]]=L$1, L$1,"rg:None")</f>
        <v>rg:None</v>
      </c>
      <c r="M122" s="8" t="str">
        <f>IF(Table2[[#This Row],[!Type]]=M$1, M$1,"rg:None")</f>
        <v>rg:None</v>
      </c>
      <c r="N122" s="8" t="str">
        <f>IF(Table2[[#This Row],[!Type]]=N$1, N$1,"rg:None")</f>
        <v>rg:None</v>
      </c>
      <c r="O122" s="8" t="str">
        <f>IF(Table2[[#This Row],[!Type]]=O$1, O$1,"rg:None")</f>
        <v>rg:None</v>
      </c>
      <c r="P122" s="5" t="str">
        <f>IF(Table2[[#This Row],[!Type]]=P$1, P$1,"rg:None")</f>
        <v>rg:None</v>
      </c>
      <c r="Q122" s="5" t="str">
        <f>IF(Table2[[#This Row],[!Type]]=Q$1, Q$1,"rg:None")</f>
        <v>rg:None</v>
      </c>
      <c r="R122" s="5" t="str">
        <f>IF(Table2[[#This Row],[!Type]]=R$1, R$1,"rg:None")</f>
        <v>rg:None</v>
      </c>
      <c r="S122" s="5" t="str">
        <f>IF(Table2[[#This Row],[!Type]]=S$1, S$1,"rg:None")</f>
        <v>rg:None</v>
      </c>
      <c r="T122" s="8" t="str">
        <f>IF(LEN(Table2[[#This Row],[!Length]]) &gt; 0, Table2[[#This Row],[!Length]], "rg:None")</f>
        <v>rg:None</v>
      </c>
      <c r="U122" s="8" t="str">
        <f>IF(LEN(Table2[[#This Row],[!Name]]) &gt; 0, Table2[[#This Row],[!Name]], "rg:None")</f>
        <v>hasBeenViewed</v>
      </c>
      <c r="V122" s="8" t="str">
        <f>IF(LEN(Table2[[#This Row],[!Description]]) &gt; 0, Table2[[#This Row],[!Description]], "rg:None")</f>
        <v>True if the user linked to the notification has read the notification.</v>
      </c>
      <c r="W122" s="8" t="str">
        <f>IF(LEN(Table2[[#This Row],[!FK]])&gt;0,Table2[[#This Row],[!FK]],"rg:None")</f>
        <v>rg:None</v>
      </c>
      <c r="X122" s="8" t="str">
        <f>IF(LEN(concatif2(A:A,Table2[[#This Row],[!Table]],G:G,"Y",D:D,",")) &gt; 0,"rg:[ { 'req' : '"&amp;concatif2(A:A,Table2[[#This Row],[!Table]],G:G,"Y",D:D,"' }, { 'req': '")&amp;"'} ]","rg:[]")</f>
        <v>rg:[ { 'req' : 'id' }, { 'req': 'notificationEventFK' }, { 'req': 'userFK'} ]</v>
      </c>
      <c r="Y122" s="8" t="str">
        <f>IF(LEN(Table2[[#This Row],[!Unique]])&gt;0,IF(Table2[[#This Row],[!Type]] = "id", "rg:None","rg:True"),"rg:None")</f>
        <v>rg:None</v>
      </c>
    </row>
    <row r="123" spans="1:25" s="4" customFormat="1" ht="28.8" customHeight="1" x14ac:dyDescent="0.3">
      <c r="A123" s="5" t="s">
        <v>26</v>
      </c>
      <c r="B123" s="5" t="s">
        <v>10</v>
      </c>
      <c r="C123" s="5"/>
      <c r="D123" s="5" t="s">
        <v>29</v>
      </c>
      <c r="E123" s="68" t="s">
        <v>238</v>
      </c>
      <c r="F123" s="5" t="s">
        <v>5</v>
      </c>
      <c r="I123" s="5" t="str">
        <f t="shared" si="1"/>
        <v>Defs</v>
      </c>
      <c r="J123" s="8" t="str">
        <f>IF(Table2[[#This Row],[!Type]]=J$1, J$1,"rg:None")</f>
        <v>boolean</v>
      </c>
      <c r="K123" s="8" t="str">
        <f>IF(Table2[[#This Row],[!Type]]=K$1, K$1,"rg:None")</f>
        <v>rg:None</v>
      </c>
      <c r="L123" s="8" t="str">
        <f>IF(Table2[[#This Row],[!Type]]=L$1, L$1,"rg:None")</f>
        <v>rg:None</v>
      </c>
      <c r="M123" s="8" t="str">
        <f>IF(Table2[[#This Row],[!Type]]=M$1, M$1,"rg:None")</f>
        <v>rg:None</v>
      </c>
      <c r="N123" s="8" t="str">
        <f>IF(Table2[[#This Row],[!Type]]=N$1, N$1,"rg:None")</f>
        <v>rg:None</v>
      </c>
      <c r="O123" s="8" t="str">
        <f>IF(Table2[[#This Row],[!Type]]=O$1, O$1,"rg:None")</f>
        <v>rg:None</v>
      </c>
      <c r="P123" s="5" t="str">
        <f>IF(Table2[[#This Row],[!Type]]=P$1, P$1,"rg:None")</f>
        <v>rg:None</v>
      </c>
      <c r="Q123" s="5" t="str">
        <f>IF(Table2[[#This Row],[!Type]]=Q$1, Q$1,"rg:None")</f>
        <v>rg:None</v>
      </c>
      <c r="R123" s="5" t="str">
        <f>IF(Table2[[#This Row],[!Type]]=R$1, R$1,"rg:None")</f>
        <v>rg:None</v>
      </c>
      <c r="S123" s="5" t="str">
        <f>IF(Table2[[#This Row],[!Type]]=S$1, S$1,"rg:None")</f>
        <v>rg:None</v>
      </c>
      <c r="T123" s="8" t="str">
        <f>IF(LEN(Table2[[#This Row],[!Length]]) &gt; 0, Table2[[#This Row],[!Length]], "rg:None")</f>
        <v>rg:None</v>
      </c>
      <c r="U123" s="8" t="str">
        <f>IF(LEN(Table2[[#This Row],[!Name]]) &gt; 0, Table2[[#This Row],[!Name]], "rg:None")</f>
        <v>isWatchNotification</v>
      </c>
      <c r="V123" s="8" t="str">
        <f>IF(LEN(Table2[[#This Row],[!Description]]) &gt; 0, Table2[[#This Row],[!Description]], "rg:None")</f>
        <v>True if the user linked to the notification has flagged the notification to remain visible.</v>
      </c>
      <c r="W123" s="8" t="str">
        <f>IF(LEN(Table2[[#This Row],[!FK]])&gt;0,Table2[[#This Row],[!FK]],"rg:None")</f>
        <v>rg:None</v>
      </c>
      <c r="X123" s="8" t="str">
        <f>IF(LEN(concatif2(A:A,Table2[[#This Row],[!Table]],G:G,"Y",D:D,",")) &gt; 0,"rg:[ { 'req' : '"&amp;concatif2(A:A,Table2[[#This Row],[!Table]],G:G,"Y",D:D,"' }, { 'req': '")&amp;"'} ]","rg:[]")</f>
        <v>rg:[ { 'req' : 'id' }, { 'req': 'notificationEventFK' }, { 'req': 'userFK'} ]</v>
      </c>
      <c r="Y123" s="8" t="str">
        <f>IF(LEN(Table2[[#This Row],[!Unique]])&gt;0,IF(Table2[[#This Row],[!Type]] = "id", "rg:None","rg:True"),"rg:None")</f>
        <v>rg:None</v>
      </c>
    </row>
    <row r="124" spans="1:25" s="4" customFormat="1" ht="16.05" customHeight="1" x14ac:dyDescent="0.3">
      <c r="A124" s="5" t="s">
        <v>26</v>
      </c>
      <c r="B124" s="5" t="s">
        <v>8</v>
      </c>
      <c r="C124" s="5"/>
      <c r="D124" s="82" t="s">
        <v>325</v>
      </c>
      <c r="E124" s="68" t="s">
        <v>228</v>
      </c>
      <c r="F124" s="5" t="s">
        <v>0</v>
      </c>
      <c r="G124" s="70" t="s">
        <v>38</v>
      </c>
      <c r="I124" s="5" t="str">
        <f t="shared" si="1"/>
        <v>Defs</v>
      </c>
      <c r="J124" s="8" t="str">
        <f>IF(Table2[[#This Row],[!Type]]=J$1, J$1,"rg:None")</f>
        <v>rg:None</v>
      </c>
      <c r="K124" s="8" t="str">
        <f>IF(Table2[[#This Row],[!Type]]=K$1, K$1,"rg:None")</f>
        <v>rg:None</v>
      </c>
      <c r="L124" s="8" t="str">
        <f>IF(Table2[[#This Row],[!Type]]=L$1, L$1,"rg:None")</f>
        <v>rg:None</v>
      </c>
      <c r="M124" s="8" t="str">
        <f>IF(Table2[[#This Row],[!Type]]=M$1, M$1,"rg:None")</f>
        <v>rg:None</v>
      </c>
      <c r="N124" s="8" t="str">
        <f>IF(Table2[[#This Row],[!Type]]=N$1, N$1,"rg:None")</f>
        <v>rg:None</v>
      </c>
      <c r="O124" s="8" t="str">
        <f>IF(Table2[[#This Row],[!Type]]=O$1, O$1,"rg:None")</f>
        <v>rg:None</v>
      </c>
      <c r="P124" s="5" t="str">
        <f>IF(Table2[[#This Row],[!Type]]=P$1, P$1,"rg:None")</f>
        <v>rg:None</v>
      </c>
      <c r="Q124" s="5" t="str">
        <f>IF(Table2[[#This Row],[!Type]]=Q$1, Q$1,"rg:None")</f>
        <v>ref</v>
      </c>
      <c r="R124" s="5" t="str">
        <f>IF(Table2[[#This Row],[!Type]]=R$1, R$1,"rg:None")</f>
        <v>rg:None</v>
      </c>
      <c r="S124" s="5" t="str">
        <f>IF(Table2[[#This Row],[!Type]]=S$1, S$1,"rg:None")</f>
        <v>rg:None</v>
      </c>
      <c r="T124" s="8" t="str">
        <f>IF(LEN(Table2[[#This Row],[!Length]]) &gt; 0, Table2[[#This Row],[!Length]], "rg:None")</f>
        <v>rg:None</v>
      </c>
      <c r="U124" s="8" t="str">
        <f>IF(LEN(Table2[[#This Row],[!Name]]) &gt; 0, Table2[[#This Row],[!Name]], "rg:None")</f>
        <v>userFK</v>
      </c>
      <c r="V124" s="8" t="str">
        <f>IF(LEN(Table2[[#This Row],[!Description]]) &gt; 0, Table2[[#This Row],[!Description]], "rg:None")</f>
        <v>A foreign key reference to a User.</v>
      </c>
      <c r="W124" s="8" t="str">
        <f>IF(LEN(Table2[[#This Row],[!FK]])&gt;0,Table2[[#This Row],[!FK]],"rg:None")</f>
        <v>User</v>
      </c>
      <c r="X124" s="8" t="str">
        <f>IF(LEN(concatif2(A:A,Table2[[#This Row],[!Table]],G:G,"Y",D:D,",")) &gt; 0,"rg:[ { 'req' : '"&amp;concatif2(A:A,Table2[[#This Row],[!Table]],G:G,"Y",D:D,"' }, { 'req': '")&amp;"'} ]","rg:[]")</f>
        <v>rg:[ { 'req' : 'id' }, { 'req': 'notificationEventFK' }, { 'req': 'userFK'} ]</v>
      </c>
      <c r="Y124" s="8" t="str">
        <f>IF(LEN(Table2[[#This Row],[!Unique]])&gt;0,IF(Table2[[#This Row],[!Type]] = "id", "rg:None","rg:True"),"rg:None")</f>
        <v>rg:None</v>
      </c>
    </row>
    <row r="125" spans="1:25" s="4" customFormat="1" ht="57.6" customHeight="1" x14ac:dyDescent="0.3">
      <c r="A125" s="5" t="s">
        <v>27</v>
      </c>
      <c r="B125" s="5" t="s">
        <v>4</v>
      </c>
      <c r="C125" s="5"/>
      <c r="D125" s="5" t="s">
        <v>27</v>
      </c>
      <c r="E125" s="68" t="s">
        <v>129</v>
      </c>
      <c r="F125" s="5" t="s">
        <v>5</v>
      </c>
      <c r="I125" s="5" t="str">
        <f t="shared" si="1"/>
        <v>Defs</v>
      </c>
      <c r="J125" s="8" t="str">
        <f>IF(Table2[[#This Row],[!Type]]=J$1, J$1,"rg:None")</f>
        <v>rg:None</v>
      </c>
      <c r="K125" s="8" t="str">
        <f>IF(Table2[[#This Row],[!Type]]=K$1, K$1,"rg:None")</f>
        <v>rg:None</v>
      </c>
      <c r="L125" s="8" t="str">
        <f>IF(Table2[[#This Row],[!Type]]=L$1, L$1,"rg:None")</f>
        <v>rg:None</v>
      </c>
      <c r="M125" s="8" t="str">
        <f>IF(Table2[[#This Row],[!Type]]=M$1, M$1,"rg:None")</f>
        <v>rg:None</v>
      </c>
      <c r="N125" s="8" t="str">
        <f>IF(Table2[[#This Row],[!Type]]=N$1, N$1,"rg:None")</f>
        <v>rg:None</v>
      </c>
      <c r="O125" s="8" t="str">
        <f>IF(Table2[[#This Row],[!Type]]=O$1, O$1,"rg:None")</f>
        <v>rg:None</v>
      </c>
      <c r="P125" s="5" t="str">
        <f>IF(Table2[[#This Row],[!Type]]=P$1, P$1,"rg:None")</f>
        <v>rg:None</v>
      </c>
      <c r="Q125" s="5" t="str">
        <f>IF(Table2[[#This Row],[!Type]]=Q$1, Q$1,"rg:None")</f>
        <v>rg:None</v>
      </c>
      <c r="R125" s="5" t="str">
        <f>IF(Table2[[#This Row],[!Type]]=R$1, R$1,"rg:None")</f>
        <v>rg:None</v>
      </c>
      <c r="S125" s="5" t="str">
        <f>IF(Table2[[#This Row],[!Type]]=S$1, S$1,"rg:None")</f>
        <v>table</v>
      </c>
      <c r="T125" s="8" t="str">
        <f>IF(LEN(Table2[[#This Row],[!Length]]) &gt; 0, Table2[[#This Row],[!Length]], "rg:None")</f>
        <v>rg:None</v>
      </c>
      <c r="U125" s="8" t="str">
        <f>IF(LEN(Table2[[#This Row],[!Name]]) &gt; 0, Table2[[#This Row],[!Name]], "rg:None")</f>
        <v>NotificationEvent</v>
      </c>
      <c r="V125" s="8" t="str">
        <f>IF(LEN(Table2[[#This Row],[!Description]]) &gt; 0, Table2[[#This Row],[!Description]], "rg:None")</f>
        <v>Notifications associated about changes to information related to a specific Credit Trade - eg trade suggested, trade countered, trade approved, etc.</v>
      </c>
      <c r="W125" s="8" t="str">
        <f>IF(LEN(Table2[[#This Row],[!FK]])&gt;0,Table2[[#This Row],[!FK]],"rg:None")</f>
        <v>rg:None</v>
      </c>
      <c r="X125" s="8" t="str">
        <f>IF(LEN(concatif2(A:A,Table2[[#This Row],[!Table]],G:G,"Y",D:D,",")) &gt; 0,"rg:[ { 'req' : '"&amp;concatif2(A:A,Table2[[#This Row],[!Table]],G:G,"Y",D:D,"' }, { 'req': '")&amp;"'} ]","rg:[]")</f>
        <v>rg:[ { 'req' : 'id'} ]</v>
      </c>
      <c r="Y125" s="8" t="str">
        <f>IF(LEN(Table2[[#This Row],[!Unique]])&gt;0,IF(Table2[[#This Row],[!Type]] = "id", "rg:None","rg:True"),"rg:None")</f>
        <v>rg:None</v>
      </c>
    </row>
    <row r="126" spans="1:25" s="4" customFormat="1" ht="28.8" x14ac:dyDescent="0.3">
      <c r="A126" s="5" t="s">
        <v>27</v>
      </c>
      <c r="B126" s="5" t="s">
        <v>6</v>
      </c>
      <c r="C126" s="5"/>
      <c r="D126" s="5" t="s">
        <v>6</v>
      </c>
      <c r="E126" s="68" t="s">
        <v>239</v>
      </c>
      <c r="F126" s="5" t="s">
        <v>5</v>
      </c>
      <c r="G126" s="4" t="s">
        <v>38</v>
      </c>
      <c r="H126" s="20" t="s">
        <v>38</v>
      </c>
      <c r="I126" s="5" t="str">
        <f t="shared" si="1"/>
        <v>Defs</v>
      </c>
      <c r="J126" s="8" t="str">
        <f>IF(Table2[[#This Row],[!Type]]=J$1, J$1,"rg:None")</f>
        <v>rg:None</v>
      </c>
      <c r="K126" s="8" t="str">
        <f>IF(Table2[[#This Row],[!Type]]=K$1, K$1,"rg:None")</f>
        <v>rg:None</v>
      </c>
      <c r="L126" s="8" t="str">
        <f>IF(Table2[[#This Row],[!Type]]=L$1, L$1,"rg:None")</f>
        <v>rg:None</v>
      </c>
      <c r="M126" s="8" t="str">
        <f>IF(Table2[[#This Row],[!Type]]=M$1, M$1,"rg:None")</f>
        <v>id</v>
      </c>
      <c r="N126" s="8" t="str">
        <f>IF(Table2[[#This Row],[!Type]]=N$1, N$1,"rg:None")</f>
        <v>rg:None</v>
      </c>
      <c r="O126" s="8" t="str">
        <f>IF(Table2[[#This Row],[!Type]]=O$1, O$1,"rg:None")</f>
        <v>rg:None</v>
      </c>
      <c r="P126" s="5" t="str">
        <f>IF(Table2[[#This Row],[!Type]]=P$1, P$1,"rg:None")</f>
        <v>rg:None</v>
      </c>
      <c r="Q126" s="5" t="str">
        <f>IF(Table2[[#This Row],[!Type]]=Q$1, Q$1,"rg:None")</f>
        <v>rg:None</v>
      </c>
      <c r="R126" s="5" t="str">
        <f>IF(Table2[[#This Row],[!Type]]=R$1, R$1,"rg:None")</f>
        <v>rg:None</v>
      </c>
      <c r="S126" s="5" t="str">
        <f>IF(Table2[[#This Row],[!Type]]=S$1, S$1,"rg:None")</f>
        <v>rg:None</v>
      </c>
      <c r="T126" s="8" t="str">
        <f>IF(LEN(Table2[[#This Row],[!Length]]) &gt; 0, Table2[[#This Row],[!Length]], "rg:None")</f>
        <v>rg:None</v>
      </c>
      <c r="U126" s="8" t="str">
        <f>IF(LEN(Table2[[#This Row],[!Name]]) &gt; 0, Table2[[#This Row],[!Name]], "rg:None")</f>
        <v>id</v>
      </c>
      <c r="V126" s="8" t="str">
        <f>IF(LEN(Table2[[#This Row],[!Description]]) &gt; 0, Table2[[#This Row],[!Description]], "rg:None")</f>
        <v>A system-generated unique identifier for a Notification Event.</v>
      </c>
      <c r="W126" s="8" t="str">
        <f>IF(LEN(Table2[[#This Row],[!FK]])&gt;0,Table2[[#This Row],[!FK]],"rg:None")</f>
        <v>rg:None</v>
      </c>
      <c r="X126" s="8" t="str">
        <f>IF(LEN(concatif2(A:A,Table2[[#This Row],[!Table]],G:G,"Y",D:D,",")) &gt; 0,"rg:[ { 'req' : '"&amp;concatif2(A:A,Table2[[#This Row],[!Table]],G:G,"Y",D:D,"' }, { 'req': '")&amp;"'} ]","rg:[]")</f>
        <v>rg:[ { 'req' : 'id'} ]</v>
      </c>
      <c r="Y126" s="8" t="str">
        <f>IF(LEN(Table2[[#This Row],[!Unique]])&gt;0,IF(Table2[[#This Row],[!Type]] = "id", "rg:None","rg:True"),"rg:None")</f>
        <v>rg:None</v>
      </c>
    </row>
    <row r="127" spans="1:25" s="4" customFormat="1" ht="28.8" customHeight="1" x14ac:dyDescent="0.3">
      <c r="A127" s="5" t="s">
        <v>27</v>
      </c>
      <c r="B127" s="59" t="s">
        <v>11</v>
      </c>
      <c r="C127" s="5"/>
      <c r="D127" s="5" t="s">
        <v>30</v>
      </c>
      <c r="E127" s="68" t="s">
        <v>84</v>
      </c>
      <c r="F127" s="5" t="s">
        <v>5</v>
      </c>
      <c r="I127" s="5" t="str">
        <f t="shared" si="1"/>
        <v>Defs</v>
      </c>
      <c r="J127" s="8" t="str">
        <f>IF(Table2[[#This Row],[!Type]]=J$1, J$1,"rg:None")</f>
        <v>rg:None</v>
      </c>
      <c r="K127" s="8" t="str">
        <f>IF(Table2[[#This Row],[!Type]]=K$1, K$1,"rg:None")</f>
        <v>rg:None</v>
      </c>
      <c r="L127" s="8" t="str">
        <f>IF(Table2[[#This Row],[!Type]]=L$1, L$1,"rg:None")</f>
        <v>datetime</v>
      </c>
      <c r="M127" s="8" t="str">
        <f>IF(Table2[[#This Row],[!Type]]=M$1, M$1,"rg:None")</f>
        <v>rg:None</v>
      </c>
      <c r="N127" s="8" t="str">
        <f>IF(Table2[[#This Row],[!Type]]=N$1, N$1,"rg:None")</f>
        <v>rg:None</v>
      </c>
      <c r="O127" s="8" t="str">
        <f>IF(Table2[[#This Row],[!Type]]=O$1, O$1,"rg:None")</f>
        <v>rg:None</v>
      </c>
      <c r="P127" s="5" t="str">
        <f>IF(Table2[[#This Row],[!Type]]=P$1, P$1,"rg:None")</f>
        <v>rg:None</v>
      </c>
      <c r="Q127" s="5" t="str">
        <f>IF(Table2[[#This Row],[!Type]]=Q$1, Q$1,"rg:None")</f>
        <v>rg:None</v>
      </c>
      <c r="R127" s="5" t="str">
        <f>IF(Table2[[#This Row],[!Type]]=R$1, R$1,"rg:None")</f>
        <v>rg:None</v>
      </c>
      <c r="S127" s="5" t="str">
        <f>IF(Table2[[#This Row],[!Type]]=S$1, S$1,"rg:None")</f>
        <v>rg:None</v>
      </c>
      <c r="T127" s="8" t="str">
        <f>IF(LEN(Table2[[#This Row],[!Length]]) &gt; 0, Table2[[#This Row],[!Length]], "rg:None")</f>
        <v>rg:None</v>
      </c>
      <c r="U127" s="8" t="str">
        <f>IF(LEN(Table2[[#This Row],[!Name]]) &gt; 0, Table2[[#This Row],[!Name]], "rg:None")</f>
        <v>eventTime</v>
      </c>
      <c r="V127" s="8" t="str">
        <f>IF(LEN(Table2[[#This Row],[!Description]]) &gt; 0, Table2[[#This Row],[!Description]], "rg:None")</f>
        <v>The date/time of the creation of the event that triggered the creation of the notification.</v>
      </c>
      <c r="W127" s="8" t="str">
        <f>IF(LEN(Table2[[#This Row],[!FK]])&gt;0,Table2[[#This Row],[!FK]],"rg:None")</f>
        <v>rg:None</v>
      </c>
      <c r="X127" s="8" t="str">
        <f>IF(LEN(concatif2(A:A,Table2[[#This Row],[!Table]],G:G,"Y",D:D,",")) &gt; 0,"rg:[ { 'req' : '"&amp;concatif2(A:A,Table2[[#This Row],[!Table]],G:G,"Y",D:D,"' }, { 'req': '")&amp;"'} ]","rg:[]")</f>
        <v>rg:[ { 'req' : 'id'} ]</v>
      </c>
      <c r="Y127" s="8" t="str">
        <f>IF(LEN(Table2[[#This Row],[!Unique]])&gt;0,IF(Table2[[#This Row],[!Type]] = "id", "rg:None","rg:True"),"rg:None")</f>
        <v>rg:None</v>
      </c>
    </row>
    <row r="128" spans="1:25" s="4" customFormat="1" ht="100.8" customHeight="1" x14ac:dyDescent="0.3">
      <c r="A128" s="5" t="s">
        <v>27</v>
      </c>
      <c r="B128" s="5" t="s">
        <v>7</v>
      </c>
      <c r="C128" s="5">
        <v>25</v>
      </c>
      <c r="D128" s="5" t="s">
        <v>31</v>
      </c>
      <c r="E128" s="68" t="s">
        <v>130</v>
      </c>
      <c r="F128" s="5" t="s">
        <v>5</v>
      </c>
      <c r="I128" s="5" t="str">
        <f t="shared" si="1"/>
        <v>Defs</v>
      </c>
      <c r="J128" s="8" t="str">
        <f>IF(Table2[[#This Row],[!Type]]=J$1, J$1,"rg:None")</f>
        <v>rg:None</v>
      </c>
      <c r="K128" s="8" t="str">
        <f>IF(Table2[[#This Row],[!Type]]=K$1, K$1,"rg:None")</f>
        <v>rg:None</v>
      </c>
      <c r="L128" s="8" t="str">
        <f>IF(Table2[[#This Row],[!Type]]=L$1, L$1,"rg:None")</f>
        <v>rg:None</v>
      </c>
      <c r="M128" s="8" t="str">
        <f>IF(Table2[[#This Row],[!Type]]=M$1, M$1,"rg:None")</f>
        <v>rg:None</v>
      </c>
      <c r="N128" s="8" t="str">
        <f>IF(Table2[[#This Row],[!Type]]=N$1, N$1,"rg:None")</f>
        <v>rg:None</v>
      </c>
      <c r="O128" s="8"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8">
        <f>IF(LEN(Table2[[#This Row],[!Length]]) &gt; 0, Table2[[#This Row],[!Length]], "rg:None")</f>
        <v>25</v>
      </c>
      <c r="U128" s="8" t="str">
        <f>IF(LEN(Table2[[#This Row],[!Name]]) &gt; 0, Table2[[#This Row],[!Name]], "rg:None")</f>
        <v>eventTypeCode</v>
      </c>
      <c r="V128" s="8"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28" s="8" t="str">
        <f>IF(LEN(Table2[[#This Row],[!FK]])&gt;0,Table2[[#This Row],[!FK]],"rg:None")</f>
        <v>rg:None</v>
      </c>
      <c r="X128" s="8" t="str">
        <f>IF(LEN(concatif2(A:A,Table2[[#This Row],[!Table]],G:G,"Y",D:D,",")) &gt; 0,"rg:[ { 'req' : '"&amp;concatif2(A:A,Table2[[#This Row],[!Table]],G:G,"Y",D:D,"' }, { 'req': '")&amp;"'} ]","rg:[]")</f>
        <v>rg:[ { 'req' : 'id'} ]</v>
      </c>
      <c r="Y128" s="8" t="str">
        <f>IF(LEN(Table2[[#This Row],[!Unique]])&gt;0,IF(Table2[[#This Row],[!Type]] = "id", "rg:None","rg:True"),"rg:None")</f>
        <v>rg:None</v>
      </c>
    </row>
    <row r="129" spans="1:25" s="4" customFormat="1" ht="115.2" customHeight="1" x14ac:dyDescent="0.3">
      <c r="A129" s="5" t="s">
        <v>27</v>
      </c>
      <c r="B129" s="5" t="s">
        <v>7</v>
      </c>
      <c r="C129" s="5">
        <v>1000</v>
      </c>
      <c r="D129" s="5" t="s">
        <v>19</v>
      </c>
      <c r="E129" s="68" t="s">
        <v>88</v>
      </c>
      <c r="F129" s="5" t="s">
        <v>5</v>
      </c>
      <c r="I129" s="5" t="str">
        <f t="shared" si="1"/>
        <v>Defs</v>
      </c>
      <c r="J129" s="8" t="str">
        <f>IF(Table2[[#This Row],[!Type]]=J$1, J$1,"rg:None")</f>
        <v>rg:None</v>
      </c>
      <c r="K129" s="8" t="str">
        <f>IF(Table2[[#This Row],[!Type]]=K$1, K$1,"rg:None")</f>
        <v>rg:None</v>
      </c>
      <c r="L129" s="8" t="str">
        <f>IF(Table2[[#This Row],[!Type]]=L$1, L$1,"rg:None")</f>
        <v>rg:None</v>
      </c>
      <c r="M129" s="8" t="str">
        <f>IF(Table2[[#This Row],[!Type]]=M$1, M$1,"rg:None")</f>
        <v>rg:None</v>
      </c>
      <c r="N129" s="8" t="str">
        <f>IF(Table2[[#This Row],[!Type]]=N$1, N$1,"rg:None")</f>
        <v>rg:None</v>
      </c>
      <c r="O129" s="8"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8">
        <f>IF(LEN(Table2[[#This Row],[!Length]]) &gt; 0, Table2[[#This Row],[!Length]], "rg:None")</f>
        <v>1000</v>
      </c>
      <c r="U129" s="8" t="str">
        <f>IF(LEN(Table2[[#This Row],[!Name]]) &gt; 0, Table2[[#This Row],[!Name]], "rg:None")</f>
        <v>notes</v>
      </c>
      <c r="V129" s="8"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29" s="8" t="str">
        <f>IF(LEN(Table2[[#This Row],[!FK]])&gt;0,Table2[[#This Row],[!FK]],"rg:None")</f>
        <v>rg:None</v>
      </c>
      <c r="X129" s="8" t="str">
        <f>IF(LEN(concatif2(A:A,Table2[[#This Row],[!Table]],G:G,"Y",D:D,",")) &gt; 0,"rg:[ { 'req' : '"&amp;concatif2(A:A,Table2[[#This Row],[!Table]],G:G,"Y",D:D,"' }, { 'req': '")&amp;"'} ]","rg:[]")</f>
        <v>rg:[ { 'req' : 'id'} ]</v>
      </c>
      <c r="Y129" s="8" t="str">
        <f>IF(LEN(Table2[[#This Row],[!Unique]])&gt;0,IF(Table2[[#This Row],[!Type]] = "id", "rg:None","rg:True"),"rg:None")</f>
        <v>rg:None</v>
      </c>
    </row>
    <row r="130" spans="1:25" s="4" customFormat="1" ht="16.05" customHeight="1" x14ac:dyDescent="0.3">
      <c r="A130" s="5" t="s">
        <v>27</v>
      </c>
      <c r="B130" s="5" t="s">
        <v>8</v>
      </c>
      <c r="C130" s="5"/>
      <c r="D130" s="82" t="s">
        <v>329</v>
      </c>
      <c r="E130" s="68" t="s">
        <v>240</v>
      </c>
      <c r="F130" s="29" t="s">
        <v>125</v>
      </c>
      <c r="I130" s="5" t="str">
        <f t="shared" si="1"/>
        <v>Defs</v>
      </c>
      <c r="J130" s="8" t="str">
        <f>IF(Table2[[#This Row],[!Type]]=J$1, J$1,"rg:None")</f>
        <v>rg:None</v>
      </c>
      <c r="K130" s="8" t="str">
        <f>IF(Table2[[#This Row],[!Type]]=K$1, K$1,"rg:None")</f>
        <v>rg:None</v>
      </c>
      <c r="L130" s="8" t="str">
        <f>IF(Table2[[#This Row],[!Type]]=L$1, L$1,"rg:None")</f>
        <v>rg:None</v>
      </c>
      <c r="M130" s="8" t="str">
        <f>IF(Table2[[#This Row],[!Type]]=M$1, M$1,"rg:None")</f>
        <v>rg:None</v>
      </c>
      <c r="N130" s="8" t="str">
        <f>IF(Table2[[#This Row],[!Type]]=N$1, N$1,"rg:None")</f>
        <v>rg:None</v>
      </c>
      <c r="O130" s="8" t="str">
        <f>IF(Table2[[#This Row],[!Type]]=O$1, O$1,"rg:None")</f>
        <v>rg:None</v>
      </c>
      <c r="P130" s="5" t="str">
        <f>IF(Table2[[#This Row],[!Type]]=P$1, P$1,"rg:None")</f>
        <v>rg:None</v>
      </c>
      <c r="Q130" s="5" t="str">
        <f>IF(Table2[[#This Row],[!Type]]=Q$1, Q$1,"rg:None")</f>
        <v>ref</v>
      </c>
      <c r="R130" s="5" t="str">
        <f>IF(Table2[[#This Row],[!Type]]=R$1, R$1,"rg:None")</f>
        <v>rg:None</v>
      </c>
      <c r="S130" s="5" t="str">
        <f>IF(Table2[[#This Row],[!Type]]=S$1, S$1,"rg:None")</f>
        <v>rg:None</v>
      </c>
      <c r="T130" s="8" t="str">
        <f>IF(LEN(Table2[[#This Row],[!Length]]) &gt; 0, Table2[[#This Row],[!Length]], "rg:None")</f>
        <v>rg:None</v>
      </c>
      <c r="U130" s="8" t="str">
        <f>IF(LEN(Table2[[#This Row],[!Name]]) &gt; 0, Table2[[#This Row],[!Name]], "rg:None")</f>
        <v>creditTradeFK</v>
      </c>
      <c r="V130" s="8" t="str">
        <f>IF(LEN(Table2[[#This Row],[!Description]]) &gt; 0, Table2[[#This Row],[!Description]], "rg:None")</f>
        <v>A foreign key reference to a CreditTrade.</v>
      </c>
      <c r="W130" s="8" t="str">
        <f>IF(LEN(Table2[[#This Row],[!FK]])&gt;0,Table2[[#This Row],[!FK]],"rg:None")</f>
        <v>CreditTrade</v>
      </c>
      <c r="X130" s="8" t="str">
        <f>IF(LEN(concatif2(A:A,Table2[[#This Row],[!Table]],G:G,"Y",D:D,",")) &gt; 0,"rg:[ { 'req' : '"&amp;concatif2(A:A,Table2[[#This Row],[!Table]],G:G,"Y",D:D,"' }, { 'req': '")&amp;"'} ]","rg:[]")</f>
        <v>rg:[ { 'req' : 'id'} ]</v>
      </c>
      <c r="Y130" s="8" t="str">
        <f>IF(LEN(Table2[[#This Row],[!Unique]])&gt;0,IF(Table2[[#This Row],[!Type]] = "id", "rg:None","rg:True"),"rg:None")</f>
        <v>rg:None</v>
      </c>
    </row>
    <row r="131" spans="1:25" s="4" customFormat="1" ht="28.8" customHeight="1" x14ac:dyDescent="0.3">
      <c r="A131" s="65" t="s">
        <v>297</v>
      </c>
      <c r="B131" s="34" t="s">
        <v>4</v>
      </c>
      <c r="C131" s="5"/>
      <c r="D131" s="65" t="s">
        <v>297</v>
      </c>
      <c r="E131" s="69" t="s">
        <v>298</v>
      </c>
      <c r="F131" s="35"/>
      <c r="G131" s="14"/>
      <c r="H131" s="14"/>
      <c r="I131" s="4" t="str">
        <f t="shared" ref="I131:I136" si="18">IF(LEN(A131) &gt; 0,"Defs","-")</f>
        <v>Defs</v>
      </c>
      <c r="J131" s="13" t="str">
        <f>IF(Table2[[#This Row],[!Type]]=J$1, J$1,"rg:None")</f>
        <v>rg:None</v>
      </c>
      <c r="K131" s="13" t="str">
        <f>IF(Table2[[#This Row],[!Type]]=K$1, K$1,"rg:None")</f>
        <v>rg:None</v>
      </c>
      <c r="L131" s="13" t="str">
        <f>IF(Table2[[#This Row],[!Type]]=L$1, L$1,"rg:None")</f>
        <v>rg:None</v>
      </c>
      <c r="M131" s="13" t="str">
        <f>IF(Table2[[#This Row],[!Type]]=M$1, M$1,"rg:None")</f>
        <v>rg:None</v>
      </c>
      <c r="N131" s="13" t="str">
        <f>IF(Table2[[#This Row],[!Type]]=N$1, N$1,"rg:None")</f>
        <v>rg:None</v>
      </c>
      <c r="O131" s="13"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table</v>
      </c>
      <c r="T131" s="13" t="str">
        <f>IF(LEN(Table2[[#This Row],[!Length]]) &gt; 0, Table2[[#This Row],[!Length]], "rg:None")</f>
        <v>rg:None</v>
      </c>
      <c r="U131" s="13" t="str">
        <f>IF(LEN(Table2[[#This Row],[!Name]]) &gt; 0, Table2[[#This Row],[!Name]], "rg:None")</f>
        <v>NotificationType</v>
      </c>
      <c r="V131" s="13" t="str">
        <f>IF(LEN(Table2[[#This Row],[!Description]]) &gt; 0, Table2[[#This Row],[!Description]], "rg:None")</f>
        <v>The types of notifications that occur in the system and might be of interest to users.</v>
      </c>
      <c r="W131" s="13" t="str">
        <f>IF(LEN(Table2[[#This Row],[!FK]])&gt;0,Table2[[#This Row],[!FK]],"rg:None")</f>
        <v>rg:None</v>
      </c>
      <c r="X131" s="13" t="str">
        <f>IF(LEN(concatif2(A:A,Table2[[#This Row],[!Table]],G:G,"Y",D:D,",")) &gt; 0,"rg:[ { 'req' : '"&amp;concatif2(A:A,Table2[[#This Row],[!Table]],G:G,"Y",D:D,"' }, { 'req': '")&amp;"'} ]","rg:[]")</f>
        <v>rg:[ { 'req' : 'id' }, { 'req': 'theType' }, { 'req': 'effectiveDate'} ]</v>
      </c>
      <c r="Y131" s="13" t="str">
        <f>IF(LEN(Table2[[#This Row],[!Unique]])&gt;0,IF(Table2[[#This Row],[!Type]] = "id", "rg:None","rg:True"),"rg:None")</f>
        <v>rg:None</v>
      </c>
    </row>
    <row r="132" spans="1:25" s="4" customFormat="1" ht="28.8" x14ac:dyDescent="0.3">
      <c r="A132" s="65" t="s">
        <v>297</v>
      </c>
      <c r="B132" s="34" t="s">
        <v>6</v>
      </c>
      <c r="C132" s="5"/>
      <c r="D132" s="55" t="s">
        <v>6</v>
      </c>
      <c r="E132" s="69" t="s">
        <v>299</v>
      </c>
      <c r="F132" s="35"/>
      <c r="G132" s="79" t="s">
        <v>38</v>
      </c>
      <c r="H132" s="79" t="s">
        <v>38</v>
      </c>
      <c r="I132" s="4" t="str">
        <f t="shared" si="18"/>
        <v>Defs</v>
      </c>
      <c r="J132" s="13" t="str">
        <f>IF(Table2[[#This Row],[!Type]]=J$1, J$1,"rg:None")</f>
        <v>rg:None</v>
      </c>
      <c r="K132" s="13" t="str">
        <f>IF(Table2[[#This Row],[!Type]]=K$1, K$1,"rg:None")</f>
        <v>rg:None</v>
      </c>
      <c r="L132" s="13" t="str">
        <f>IF(Table2[[#This Row],[!Type]]=L$1, L$1,"rg:None")</f>
        <v>rg:None</v>
      </c>
      <c r="M132" s="13" t="str">
        <f>IF(Table2[[#This Row],[!Type]]=M$1, M$1,"rg:None")</f>
        <v>id</v>
      </c>
      <c r="N132" s="13" t="str">
        <f>IF(Table2[[#This Row],[!Type]]=N$1, N$1,"rg:None")</f>
        <v>rg:None</v>
      </c>
      <c r="O132" s="13"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13" t="str">
        <f>IF(LEN(Table2[[#This Row],[!Length]]) &gt; 0, Table2[[#This Row],[!Length]], "rg:None")</f>
        <v>rg:None</v>
      </c>
      <c r="U132" s="13" t="str">
        <f>IF(LEN(Table2[[#This Row],[!Name]]) &gt; 0, Table2[[#This Row],[!Name]], "rg:None")</f>
        <v>id</v>
      </c>
      <c r="V132" s="13" t="str">
        <f>IF(LEN(Table2[[#This Row],[!Description]]) &gt; 0, Table2[[#This Row],[!Description]], "rg:None")</f>
        <v>A system-generated unique identifier for a Notification Type.</v>
      </c>
      <c r="W132" s="13" t="str">
        <f>IF(LEN(Table2[[#This Row],[!FK]])&gt;0,Table2[[#This Row],[!FK]],"rg:None")</f>
        <v>rg:None</v>
      </c>
      <c r="X132" s="13" t="str">
        <f>IF(LEN(concatif2(A:A,Table2[[#This Row],[!Table]],G:G,"Y",D:D,",")) &gt; 0,"rg:[ { 'req' : '"&amp;concatif2(A:A,Table2[[#This Row],[!Table]],G:G,"Y",D:D,"' }, { 'req': '")&amp;"'} ]","rg:[]")</f>
        <v>rg:[ { 'req' : 'id' }, { 'req': 'theType' }, { 'req': 'effectiveDate'} ]</v>
      </c>
      <c r="Y132" s="13" t="str">
        <f>IF(LEN(Table2[[#This Row],[!Unique]])&gt;0,IF(Table2[[#This Row],[!Type]] = "id", "rg:None","rg:True"),"rg:None")</f>
        <v>rg:None</v>
      </c>
    </row>
    <row r="133" spans="1:25" s="4" customFormat="1" ht="28.8" customHeight="1" x14ac:dyDescent="0.3">
      <c r="A133" s="65" t="s">
        <v>297</v>
      </c>
      <c r="B133" s="34" t="s">
        <v>7</v>
      </c>
      <c r="C133" s="5">
        <v>25</v>
      </c>
      <c r="D133" s="78" t="s">
        <v>317</v>
      </c>
      <c r="E133" s="69" t="s">
        <v>300</v>
      </c>
      <c r="F133" s="35"/>
      <c r="G133" s="79" t="s">
        <v>38</v>
      </c>
      <c r="H133" s="14"/>
      <c r="I133" s="4" t="str">
        <f t="shared" si="18"/>
        <v>Defs</v>
      </c>
      <c r="J133" s="13" t="str">
        <f>IF(Table2[[#This Row],[!Type]]=J$1, J$1,"rg:None")</f>
        <v>rg:None</v>
      </c>
      <c r="K133" s="13" t="str">
        <f>IF(Table2[[#This Row],[!Type]]=K$1, K$1,"rg:None")</f>
        <v>rg:None</v>
      </c>
      <c r="L133" s="13" t="str">
        <f>IF(Table2[[#This Row],[!Type]]=L$1, L$1,"rg:None")</f>
        <v>rg:None</v>
      </c>
      <c r="M133" s="13" t="str">
        <f>IF(Table2[[#This Row],[!Type]]=M$1, M$1,"rg:None")</f>
        <v>rg:None</v>
      </c>
      <c r="N133" s="13" t="str">
        <f>IF(Table2[[#This Row],[!Type]]=N$1, N$1,"rg:None")</f>
        <v>rg:None</v>
      </c>
      <c r="O133" s="13"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13">
        <f>IF(LEN(Table2[[#This Row],[!Length]]) &gt; 0, Table2[[#This Row],[!Length]], "rg:None")</f>
        <v>25</v>
      </c>
      <c r="U133" s="13" t="str">
        <f>IF(LEN(Table2[[#This Row],[!Name]]) &gt; 0, Table2[[#This Row],[!Name]], "rg:None")</f>
        <v>theType</v>
      </c>
      <c r="V133" s="13" t="str">
        <f>IF(LEN(Table2[[#This Row],[!Description]]) &gt; 0, Table2[[#This Row],[!Description]], "rg:None")</f>
        <v>The name of the notification type presented to the users.</v>
      </c>
      <c r="W133" s="13" t="str">
        <f>IF(LEN(Table2[[#This Row],[!FK]])&gt;0,Table2[[#This Row],[!FK]],"rg:None")</f>
        <v>rg:None</v>
      </c>
      <c r="X133" s="13" t="str">
        <f>IF(LEN(concatif2(A:A,Table2[[#This Row],[!Table]],G:G,"Y",D:D,",")) &gt; 0,"rg:[ { 'req' : '"&amp;concatif2(A:A,Table2[[#This Row],[!Table]],G:G,"Y",D:D,"' }, { 'req': '")&amp;"'} ]","rg:[]")</f>
        <v>rg:[ { 'req' : 'id' }, { 'req': 'theType' }, { 'req': 'effectiveDate'} ]</v>
      </c>
      <c r="Y133" s="13" t="str">
        <f>IF(LEN(Table2[[#This Row],[!Unique]])&gt;0,IF(Table2[[#This Row],[!Type]] = "id", "rg:None","rg:True"),"rg:None")</f>
        <v>rg:None</v>
      </c>
    </row>
    <row r="134" spans="1:25" s="4" customFormat="1" ht="28.8" customHeight="1" x14ac:dyDescent="0.3">
      <c r="A134" s="65" t="s">
        <v>297</v>
      </c>
      <c r="B134" s="34" t="s">
        <v>7</v>
      </c>
      <c r="C134" s="5">
        <v>1000</v>
      </c>
      <c r="D134" s="55" t="s">
        <v>13</v>
      </c>
      <c r="E134" s="69" t="s">
        <v>301</v>
      </c>
      <c r="F134" s="35"/>
      <c r="G134" s="14"/>
      <c r="H134" s="14"/>
      <c r="I134" s="4" t="str">
        <f t="shared" si="18"/>
        <v>Defs</v>
      </c>
      <c r="J134" s="13" t="str">
        <f>IF(Table2[[#This Row],[!Type]]=J$1, J$1,"rg:None")</f>
        <v>rg:None</v>
      </c>
      <c r="K134" s="13" t="str">
        <f>IF(Table2[[#This Row],[!Type]]=K$1, K$1,"rg:None")</f>
        <v>rg:None</v>
      </c>
      <c r="L134" s="13" t="str">
        <f>IF(Table2[[#This Row],[!Type]]=L$1, L$1,"rg:None")</f>
        <v>rg:None</v>
      </c>
      <c r="M134" s="13" t="str">
        <f>IF(Table2[[#This Row],[!Type]]=M$1, M$1,"rg:None")</f>
        <v>rg:None</v>
      </c>
      <c r="N134" s="13" t="str">
        <f>IF(Table2[[#This Row],[!Type]]=N$1, N$1,"rg:None")</f>
        <v>rg:None</v>
      </c>
      <c r="O134" s="13" t="str">
        <f>IF(Table2[[#This Row],[!Type]]=O$1, O$1,"rg:None")</f>
        <v>rg:None</v>
      </c>
      <c r="P134" s="4" t="str">
        <f>IF(Table2[[#This Row],[!Type]]=P$1, P$1,"rg:None")</f>
        <v>rg:None</v>
      </c>
      <c r="Q134" s="4" t="str">
        <f>IF(Table2[[#This Row],[!Type]]=Q$1, Q$1,"rg:None")</f>
        <v>rg:None</v>
      </c>
      <c r="R134" s="4" t="str">
        <f>IF(Table2[[#This Row],[!Type]]=R$1, R$1,"rg:None")</f>
        <v>string</v>
      </c>
      <c r="S134" s="4" t="str">
        <f>IF(Table2[[#This Row],[!Type]]=S$1, S$1,"rg:None")</f>
        <v>rg:None</v>
      </c>
      <c r="T134" s="13">
        <f>IF(LEN(Table2[[#This Row],[!Length]]) &gt; 0, Table2[[#This Row],[!Length]], "rg:None")</f>
        <v>1000</v>
      </c>
      <c r="U134" s="13" t="str">
        <f>IF(LEN(Table2[[#This Row],[!Name]]) &gt; 0, Table2[[#This Row],[!Name]], "rg:None")</f>
        <v>description</v>
      </c>
      <c r="V134" s="13" t="str">
        <f>IF(LEN(Table2[[#This Row],[!Description]]) &gt; 0, Table2[[#This Row],[!Description]], "rg:None")</f>
        <v>End user help-text information about the notification type.</v>
      </c>
      <c r="W134" s="13" t="str">
        <f>IF(LEN(Table2[[#This Row],[!FK]])&gt;0,Table2[[#This Row],[!FK]],"rg:None")</f>
        <v>rg:None</v>
      </c>
      <c r="X134" s="13" t="str">
        <f>IF(LEN(concatif2(A:A,Table2[[#This Row],[!Table]],G:G,"Y",D:D,",")) &gt; 0,"rg:[ { 'req' : '"&amp;concatif2(A:A,Table2[[#This Row],[!Table]],G:G,"Y",D:D,"' }, { 'req': '")&amp;"'} ]","rg:[]")</f>
        <v>rg:[ { 'req' : 'id' }, { 'req': 'theType' }, { 'req': 'effectiveDate'} ]</v>
      </c>
      <c r="Y134" s="13" t="str">
        <f>IF(LEN(Table2[[#This Row],[!Unique]])&gt;0,IF(Table2[[#This Row],[!Type]] = "id", "rg:None","rg:True"),"rg:None")</f>
        <v>rg:None</v>
      </c>
    </row>
    <row r="135" spans="1:25" s="4" customFormat="1" ht="28.8" customHeight="1" x14ac:dyDescent="0.3">
      <c r="A135" s="65" t="s">
        <v>297</v>
      </c>
      <c r="B135" s="34" t="s">
        <v>11</v>
      </c>
      <c r="C135" s="5"/>
      <c r="D135" s="55" t="s">
        <v>158</v>
      </c>
      <c r="E135" s="69" t="s">
        <v>302</v>
      </c>
      <c r="F135" s="35"/>
      <c r="G135" s="79" t="s">
        <v>38</v>
      </c>
      <c r="H135" s="14"/>
      <c r="I135" s="4" t="str">
        <f t="shared" si="18"/>
        <v>Defs</v>
      </c>
      <c r="J135" s="13" t="str">
        <f>IF(Table2[[#This Row],[!Type]]=J$1, J$1,"rg:None")</f>
        <v>rg:None</v>
      </c>
      <c r="K135" s="13" t="str">
        <f>IF(Table2[[#This Row],[!Type]]=K$1, K$1,"rg:None")</f>
        <v>rg:None</v>
      </c>
      <c r="L135" s="13" t="str">
        <f>IF(Table2[[#This Row],[!Type]]=L$1, L$1,"rg:None")</f>
        <v>datetime</v>
      </c>
      <c r="M135" s="13" t="str">
        <f>IF(Table2[[#This Row],[!Type]]=M$1, M$1,"rg:None")</f>
        <v>rg:None</v>
      </c>
      <c r="N135" s="13" t="str">
        <f>IF(Table2[[#This Row],[!Type]]=N$1, N$1,"rg:None")</f>
        <v>rg:None</v>
      </c>
      <c r="O135" s="13"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13" t="str">
        <f>IF(LEN(Table2[[#This Row],[!Length]]) &gt; 0, Table2[[#This Row],[!Length]], "rg:None")</f>
        <v>rg:None</v>
      </c>
      <c r="U135" s="13" t="str">
        <f>IF(LEN(Table2[[#This Row],[!Name]]) &gt; 0, Table2[[#This Row],[!Name]], "rg:None")</f>
        <v>effectiveDate</v>
      </c>
      <c r="V135" s="13" t="str">
        <f>IF(LEN(Table2[[#This Row],[!Description]]) &gt; 0, Table2[[#This Row],[!Description]], "rg:None")</f>
        <v>The datetime upon which the notification type was activated for use.</v>
      </c>
      <c r="W135" s="13" t="str">
        <f>IF(LEN(Table2[[#This Row],[!FK]])&gt;0,Table2[[#This Row],[!FK]],"rg:None")</f>
        <v>rg:None</v>
      </c>
      <c r="X135" s="13" t="str">
        <f>IF(LEN(concatif2(A:A,Table2[[#This Row],[!Table]],G:G,"Y",D:D,",")) &gt; 0,"rg:[ { 'req' : '"&amp;concatif2(A:A,Table2[[#This Row],[!Table]],G:G,"Y",D:D,"' }, { 'req': '")&amp;"'} ]","rg:[]")</f>
        <v>rg:[ { 'req' : 'id' }, { 'req': 'theType' }, { 'req': 'effectiveDate'} ]</v>
      </c>
      <c r="Y135" s="13" t="str">
        <f>IF(LEN(Table2[[#This Row],[!Unique]])&gt;0,IF(Table2[[#This Row],[!Type]] = "id", "rg:None","rg:True"),"rg:None")</f>
        <v>rg:None</v>
      </c>
    </row>
    <row r="136" spans="1:25" s="4" customFormat="1" ht="28.8" customHeight="1" x14ac:dyDescent="0.3">
      <c r="A136" s="65" t="s">
        <v>297</v>
      </c>
      <c r="B136" s="34" t="s">
        <v>11</v>
      </c>
      <c r="C136" s="5"/>
      <c r="D136" s="55" t="s">
        <v>165</v>
      </c>
      <c r="E136" s="69" t="s">
        <v>303</v>
      </c>
      <c r="F136" s="35"/>
      <c r="G136" s="14"/>
      <c r="H136" s="14"/>
      <c r="I136" s="4" t="str">
        <f t="shared" si="18"/>
        <v>Defs</v>
      </c>
      <c r="J136" s="13" t="str">
        <f>IF(Table2[[#This Row],[!Type]]=J$1, J$1,"rg:None")</f>
        <v>rg:None</v>
      </c>
      <c r="K136" s="13" t="str">
        <f>IF(Table2[[#This Row],[!Type]]=K$1, K$1,"rg:None")</f>
        <v>rg:None</v>
      </c>
      <c r="L136" s="13" t="str">
        <f>IF(Table2[[#This Row],[!Type]]=L$1, L$1,"rg:None")</f>
        <v>datetime</v>
      </c>
      <c r="M136" s="13" t="str">
        <f>IF(Table2[[#This Row],[!Type]]=M$1, M$1,"rg:None")</f>
        <v>rg:None</v>
      </c>
      <c r="N136" s="13" t="str">
        <f>IF(Table2[[#This Row],[!Type]]=N$1, N$1,"rg:None")</f>
        <v>rg:None</v>
      </c>
      <c r="O136" s="13"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13" t="str">
        <f>IF(LEN(Table2[[#This Row],[!Length]]) &gt; 0, Table2[[#This Row],[!Length]], "rg:None")</f>
        <v>rg:None</v>
      </c>
      <c r="U136" s="13" t="str">
        <f>IF(LEN(Table2[[#This Row],[!Name]]) &gt; 0, Table2[[#This Row],[!Name]], "rg:None")</f>
        <v>expirationDate</v>
      </c>
      <c r="V136" s="13" t="str">
        <f>IF(LEN(Table2[[#This Row],[!Description]]) &gt; 0, Table2[[#This Row],[!Description]], "rg:None")</f>
        <v>The date/time after which the notification type will no longer be used.</v>
      </c>
      <c r="W136" s="13" t="str">
        <f>IF(LEN(Table2[[#This Row],[!FK]])&gt;0,Table2[[#This Row],[!FK]],"rg:None")</f>
        <v>rg:None</v>
      </c>
      <c r="X136" s="13" t="str">
        <f>IF(LEN(concatif2(A:A,Table2[[#This Row],[!Table]],G:G,"Y",D:D,",")) &gt; 0,"rg:[ { 'req' : '"&amp;concatif2(A:A,Table2[[#This Row],[!Table]],G:G,"Y",D:D,"' }, { 'req': '")&amp;"'} ]","rg:[]")</f>
        <v>rg:[ { 'req' : 'id' }, { 'req': 'theType' }, { 'req': 'effectiveDate'} ]</v>
      </c>
      <c r="Y136" s="13" t="str">
        <f>IF(LEN(Table2[[#This Row],[!Unique]])&gt;0,IF(Table2[[#This Row],[!Type]] = "id", "rg:None","rg:True"),"rg:None")</f>
        <v>rg:None</v>
      </c>
    </row>
    <row r="137" spans="1:25" s="4" customFormat="1" ht="16.05" customHeight="1" x14ac:dyDescent="0.3">
      <c r="A137" s="65" t="s">
        <v>297</v>
      </c>
      <c r="B137" s="34" t="s">
        <v>12</v>
      </c>
      <c r="C137" s="5"/>
      <c r="D137" s="55" t="s">
        <v>166</v>
      </c>
      <c r="E137" s="69" t="s">
        <v>304</v>
      </c>
      <c r="F137" s="35" t="s">
        <v>5</v>
      </c>
      <c r="G137" s="14"/>
      <c r="H137" s="14"/>
      <c r="I137" s="4" t="str">
        <f t="shared" ref="I137" si="19">IF(LEN(A137) &gt; 0,"Defs","-")</f>
        <v>Defs</v>
      </c>
      <c r="J137" s="13" t="str">
        <f>IF(Table2[[#This Row],[!Type]]=J$1, J$1,"rg:None")</f>
        <v>rg:None</v>
      </c>
      <c r="K137" s="13" t="str">
        <f>IF(Table2[[#This Row],[!Type]]=K$1, K$1,"rg:None")</f>
        <v>rg:None</v>
      </c>
      <c r="L137" s="13" t="str">
        <f>IF(Table2[[#This Row],[!Type]]=L$1, L$1,"rg:None")</f>
        <v>rg:None</v>
      </c>
      <c r="M137" s="13" t="str">
        <f>IF(Table2[[#This Row],[!Type]]=M$1, M$1,"rg:None")</f>
        <v>rg:None</v>
      </c>
      <c r="N137" s="13" t="str">
        <f>IF(Table2[[#This Row],[!Type]]=N$1, N$1,"rg:None")</f>
        <v>integer</v>
      </c>
      <c r="O137" s="13"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13" t="str">
        <f>IF(LEN(Table2[[#This Row],[!Length]]) &gt; 0, Table2[[#This Row],[!Length]], "rg:None")</f>
        <v>rg:None</v>
      </c>
      <c r="U137" s="13" t="str">
        <f>IF(LEN(Table2[[#This Row],[!Name]]) &gt; 0, Table2[[#This Row],[!Name]], "rg:None")</f>
        <v>displayOrder</v>
      </c>
      <c r="V137" s="13" t="str">
        <f>IF(LEN(Table2[[#This Row],[!Description]]) &gt; 0, Table2[[#This Row],[!Description]], "rg:None")</f>
        <v>The order of display of the notification types.</v>
      </c>
      <c r="W137" s="13" t="str">
        <f>IF(LEN(Table2[[#This Row],[!FK]])&gt;0,Table2[[#This Row],[!FK]],"rg:None")</f>
        <v>rg:None</v>
      </c>
      <c r="X137" s="13" t="str">
        <f>IF(LEN(concatif2(A:A,Table2[[#This Row],[!Table]],G:G,"Y",D:D,",")) &gt; 0,"rg:[ { 'req' : '"&amp;concatif2(A:A,Table2[[#This Row],[!Table]],G:G,"Y",D:D,"' }, { 'req': '")&amp;"'} ]","rg:[]")</f>
        <v>rg:[ { 'req' : 'id' }, { 'req': 'theType' }, { 'req': 'effectiveDate'} ]</v>
      </c>
      <c r="Y137" s="13" t="str">
        <f>IF(LEN(Table2[[#This Row],[!Unique]])&gt;0,IF(Table2[[#This Row],[!Type]] = "id", "rg:None","rg:True"),"rg:None")</f>
        <v>rg:None</v>
      </c>
    </row>
    <row r="138" spans="1:25" s="4" customFormat="1" ht="16.05" customHeight="1" x14ac:dyDescent="0.3">
      <c r="A138" s="5" t="s">
        <v>0</v>
      </c>
      <c r="B138" s="5" t="s">
        <v>4</v>
      </c>
      <c r="C138" s="5"/>
      <c r="D138" s="5" t="s">
        <v>0</v>
      </c>
      <c r="E138" s="68" t="s">
        <v>40</v>
      </c>
      <c r="F138" s="5" t="s">
        <v>5</v>
      </c>
      <c r="I138" s="5" t="str">
        <f t="shared" si="1"/>
        <v>Defs</v>
      </c>
      <c r="J138" s="8" t="str">
        <f>IF(Table2[[#This Row],[!Type]]=J$1, J$1,"rg:None")</f>
        <v>rg:None</v>
      </c>
      <c r="K138" s="8" t="str">
        <f>IF(Table2[[#This Row],[!Type]]=K$1, K$1,"rg:None")</f>
        <v>rg:None</v>
      </c>
      <c r="L138" s="8" t="str">
        <f>IF(Table2[[#This Row],[!Type]]=L$1, L$1,"rg:None")</f>
        <v>rg:None</v>
      </c>
      <c r="M138" s="8" t="str">
        <f>IF(Table2[[#This Row],[!Type]]=M$1, M$1,"rg:None")</f>
        <v>rg:None</v>
      </c>
      <c r="N138" s="8" t="str">
        <f>IF(Table2[[#This Row],[!Type]]=N$1, N$1,"rg:None")</f>
        <v>rg:None</v>
      </c>
      <c r="O138" s="8"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table</v>
      </c>
      <c r="T138" s="8" t="str">
        <f>IF(LEN(Table2[[#This Row],[!Length]]) &gt; 0, Table2[[#This Row],[!Length]], "rg:None")</f>
        <v>rg:None</v>
      </c>
      <c r="U138" s="8" t="str">
        <f>IF(LEN(Table2[[#This Row],[!Name]]) &gt; 0, Table2[[#This Row],[!Name]], "rg:None")</f>
        <v>User</v>
      </c>
      <c r="V138" s="8" t="str">
        <f>IF(LEN(Table2[[#This Row],[!Description]]) &gt; 0, Table2[[#This Row],[!Description]], "rg:None")</f>
        <v>Information about the users of the system.</v>
      </c>
      <c r="W138" s="8" t="str">
        <f>IF(LEN(Table2[[#This Row],[!FK]])&gt;0,Table2[[#This Row],[!FK]],"rg:None")</f>
        <v>rg:None</v>
      </c>
      <c r="X138" s="8" t="str">
        <f>IF(LEN(concatif2(A:A,Table2[[#This Row],[!Table]],G:G,"Y",D:D,",")) &gt; 0,"rg:[ { 'req' : '"&amp;concatif2(A:A,Table2[[#This Row],[!Table]],G:G,"Y",D:D,"' }, { 'req': '")&amp;"'} ]","rg:[]")</f>
        <v>rg:[ { 'req' : 'id' }, { 'req': 'givenName' }, { 'req': 'surname'} ]</v>
      </c>
      <c r="Y138" s="8" t="str">
        <f>IF(LEN(Table2[[#This Row],[!Unique]])&gt;0,IF(Table2[[#This Row],[!Type]] = "id", "rg:None","rg:True"),"rg:None")</f>
        <v>rg:None</v>
      </c>
    </row>
    <row r="139" spans="1:25" s="4" customFormat="1" x14ac:dyDescent="0.3">
      <c r="A139" s="5" t="s">
        <v>0</v>
      </c>
      <c r="B139" s="5" t="s">
        <v>6</v>
      </c>
      <c r="C139" s="5"/>
      <c r="D139" s="5" t="s">
        <v>6</v>
      </c>
      <c r="E139" s="68" t="s">
        <v>241</v>
      </c>
      <c r="F139" s="5" t="s">
        <v>5</v>
      </c>
      <c r="G139" s="4" t="s">
        <v>38</v>
      </c>
      <c r="H139" s="20" t="s">
        <v>38</v>
      </c>
      <c r="I139" s="5" t="str">
        <f t="shared" si="1"/>
        <v>Defs</v>
      </c>
      <c r="J139" s="8" t="str">
        <f>IF(Table2[[#This Row],[!Type]]=J$1, J$1,"rg:None")</f>
        <v>rg:None</v>
      </c>
      <c r="K139" s="8" t="str">
        <f>IF(Table2[[#This Row],[!Type]]=K$1, K$1,"rg:None")</f>
        <v>rg:None</v>
      </c>
      <c r="L139" s="8" t="str">
        <f>IF(Table2[[#This Row],[!Type]]=L$1, L$1,"rg:None")</f>
        <v>rg:None</v>
      </c>
      <c r="M139" s="8" t="str">
        <f>IF(Table2[[#This Row],[!Type]]=M$1, M$1,"rg:None")</f>
        <v>id</v>
      </c>
      <c r="N139" s="8" t="str">
        <f>IF(Table2[[#This Row],[!Type]]=N$1, N$1,"rg:None")</f>
        <v>rg:None</v>
      </c>
      <c r="O139" s="8"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8" t="str">
        <f>IF(LEN(Table2[[#This Row],[!Length]]) &gt; 0, Table2[[#This Row],[!Length]], "rg:None")</f>
        <v>rg:None</v>
      </c>
      <c r="U139" s="8" t="str">
        <f>IF(LEN(Table2[[#This Row],[!Name]]) &gt; 0, Table2[[#This Row],[!Name]], "rg:None")</f>
        <v>id</v>
      </c>
      <c r="V139" s="8" t="str">
        <f>IF(LEN(Table2[[#This Row],[!Description]]) &gt; 0, Table2[[#This Row],[!Description]], "rg:None")</f>
        <v>A system-generated unique identifier for a User.</v>
      </c>
      <c r="W139" s="8" t="str">
        <f>IF(LEN(Table2[[#This Row],[!FK]])&gt;0,Table2[[#This Row],[!FK]],"rg:None")</f>
        <v>rg:None</v>
      </c>
      <c r="X139" s="8" t="str">
        <f>IF(LEN(concatif2(A:A,Table2[[#This Row],[!Table]],G:G,"Y",D:D,",")) &gt; 0,"rg:[ { 'req' : '"&amp;concatif2(A:A,Table2[[#This Row],[!Table]],G:G,"Y",D:D,"' }, { 'req': '")&amp;"'} ]","rg:[]")</f>
        <v>rg:[ { 'req' : 'id' }, { 'req': 'givenName' }, { 'req': 'surname'} ]</v>
      </c>
      <c r="Y139" s="8" t="str">
        <f>IF(LEN(Table2[[#This Row],[!Unique]])&gt;0,IF(Table2[[#This Row],[!Type]] = "id", "rg:None","rg:True"),"rg:None")</f>
        <v>rg:None</v>
      </c>
    </row>
    <row r="140" spans="1:25" s="4" customFormat="1" ht="28.8" customHeight="1" x14ac:dyDescent="0.3">
      <c r="A140" s="44" t="s">
        <v>0</v>
      </c>
      <c r="B140" s="44" t="s">
        <v>7</v>
      </c>
      <c r="C140" s="5">
        <v>500</v>
      </c>
      <c r="D140" s="44" t="s">
        <v>140</v>
      </c>
      <c r="E140" s="68" t="s">
        <v>242</v>
      </c>
      <c r="F140" s="6"/>
      <c r="G140" s="14"/>
      <c r="H140" s="14"/>
      <c r="I140" s="4" t="str">
        <f>IF(LEN(A140) &gt; 0,"Defs","-")</f>
        <v>Defs</v>
      </c>
      <c r="J140" s="13" t="str">
        <f>IF(Table2[[#This Row],[!Type]]=J$1, J$1,"rg:None")</f>
        <v>rg:None</v>
      </c>
      <c r="K140" s="13" t="str">
        <f>IF(Table2[[#This Row],[!Type]]=K$1, K$1,"rg:None")</f>
        <v>rg:None</v>
      </c>
      <c r="L140" s="13" t="str">
        <f>IF(Table2[[#This Row],[!Type]]=L$1, L$1,"rg:None")</f>
        <v>rg:None</v>
      </c>
      <c r="M140" s="13" t="str">
        <f>IF(Table2[[#This Row],[!Type]]=M$1, M$1,"rg:None")</f>
        <v>rg:None</v>
      </c>
      <c r="N140" s="13" t="str">
        <f>IF(Table2[[#This Row],[!Type]]=N$1, N$1,"rg:None")</f>
        <v>rg:None</v>
      </c>
      <c r="O140" s="13"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13">
        <f>IF(LEN(Table2[[#This Row],[!Length]]) &gt; 0, Table2[[#This Row],[!Length]], "rg:None")</f>
        <v>500</v>
      </c>
      <c r="U140" s="13" t="str">
        <f>IF(LEN(Table2[[#This Row],[!Name]]) &gt; 0, Table2[[#This Row],[!Name]], "rg:None")</f>
        <v>authorizationID</v>
      </c>
      <c r="V140" s="13" t="str">
        <f>IF(LEN(Table2[[#This Row],[!Description]]) &gt; 0, Table2[[#This Row],[!Description]], "rg:None")</f>
        <v>The ID of the User in the authorization system of record.</v>
      </c>
      <c r="W140" s="13" t="str">
        <f>IF(LEN(Table2[[#This Row],[!FK]])&gt;0,Table2[[#This Row],[!FK]],"rg:None")</f>
        <v>rg:None</v>
      </c>
      <c r="X140" s="13" t="str">
        <f>IF(LEN(concatif2(A:A,Table2[[#This Row],[!Table]],G:G,"Y",D:D,",")) &gt; 0,"rg:[ { 'req' : '"&amp;concatif2(A:A,Table2[[#This Row],[!Table]],G:G,"Y",D:D,"' }, { 'req': '")&amp;"'} ]","rg:[]")</f>
        <v>rg:[ { 'req' : 'id' }, { 'req': 'givenName' }, { 'req': 'surname'} ]</v>
      </c>
      <c r="Y140" s="13" t="str">
        <f>IF(LEN(Table2[[#This Row],[!Unique]])&gt;0,IF(Table2[[#This Row],[!Type]] = "id", "rg:None","rg:True"),"rg:None")</f>
        <v>rg:None</v>
      </c>
    </row>
    <row r="141" spans="1:25" s="4" customFormat="1" ht="16.05" customHeight="1" x14ac:dyDescent="0.3">
      <c r="A141" s="5" t="s">
        <v>0</v>
      </c>
      <c r="B141" s="5" t="s">
        <v>7</v>
      </c>
      <c r="C141" s="5">
        <v>100</v>
      </c>
      <c r="D141" s="5" t="s">
        <v>15</v>
      </c>
      <c r="E141" s="68" t="s">
        <v>86</v>
      </c>
      <c r="F141" s="5" t="s">
        <v>5</v>
      </c>
      <c r="G141" s="20" t="s">
        <v>38</v>
      </c>
      <c r="I141" s="5" t="str">
        <f t="shared" si="1"/>
        <v>Defs</v>
      </c>
      <c r="J141" s="8" t="str">
        <f>IF(Table2[[#This Row],[!Type]]=J$1, J$1,"rg:None")</f>
        <v>rg:None</v>
      </c>
      <c r="K141" s="8" t="str">
        <f>IF(Table2[[#This Row],[!Type]]=K$1, K$1,"rg:None")</f>
        <v>rg:None</v>
      </c>
      <c r="L141" s="8" t="str">
        <f>IF(Table2[[#This Row],[!Type]]=L$1, L$1,"rg:None")</f>
        <v>rg:None</v>
      </c>
      <c r="M141" s="8" t="str">
        <f>IF(Table2[[#This Row],[!Type]]=M$1, M$1,"rg:None")</f>
        <v>rg:None</v>
      </c>
      <c r="N141" s="8" t="str">
        <f>IF(Table2[[#This Row],[!Type]]=N$1, N$1,"rg:None")</f>
        <v>rg:None</v>
      </c>
      <c r="O141" s="8" t="str">
        <f>IF(Table2[[#This Row],[!Type]]=O$1, O$1,"rg:None")</f>
        <v>rg:None</v>
      </c>
      <c r="P141" s="5" t="str">
        <f>IF(Table2[[#This Row],[!Type]]=P$1, P$1,"rg:None")</f>
        <v>rg:None</v>
      </c>
      <c r="Q141" s="5" t="str">
        <f>IF(Table2[[#This Row],[!Type]]=Q$1, Q$1,"rg:None")</f>
        <v>rg:None</v>
      </c>
      <c r="R141" s="5" t="str">
        <f>IF(Table2[[#This Row],[!Type]]=R$1, R$1,"rg:None")</f>
        <v>string</v>
      </c>
      <c r="S141" s="5" t="str">
        <f>IF(Table2[[#This Row],[!Type]]=S$1, S$1,"rg:None")</f>
        <v>rg:None</v>
      </c>
      <c r="T141" s="8">
        <f>IF(LEN(Table2[[#This Row],[!Length]]) &gt; 0, Table2[[#This Row],[!Length]], "rg:None")</f>
        <v>100</v>
      </c>
      <c r="U141" s="8" t="str">
        <f>IF(LEN(Table2[[#This Row],[!Name]]) &gt; 0, Table2[[#This Row],[!Name]], "rg:None")</f>
        <v>givenName</v>
      </c>
      <c r="V141" s="8" t="str">
        <f>IF(LEN(Table2[[#This Row],[!Description]]) &gt; 0, Table2[[#This Row],[!Description]], "rg:None")</f>
        <v>Given name of the user.</v>
      </c>
      <c r="W141" s="8" t="str">
        <f>IF(LEN(Table2[[#This Row],[!FK]])&gt;0,Table2[[#This Row],[!FK]],"rg:None")</f>
        <v>rg:None</v>
      </c>
      <c r="X141" s="8" t="str">
        <f>IF(LEN(concatif2(A:A,Table2[[#This Row],[!Table]],G:G,"Y",D:D,",")) &gt; 0,"rg:[ { 'req' : '"&amp;concatif2(A:A,Table2[[#This Row],[!Table]],G:G,"Y",D:D,"' }, { 'req': '")&amp;"'} ]","rg:[]")</f>
        <v>rg:[ { 'req' : 'id' }, { 'req': 'givenName' }, { 'req': 'surname'} ]</v>
      </c>
      <c r="Y141" s="8" t="str">
        <f>IF(LEN(Table2[[#This Row],[!Unique]])&gt;0,IF(Table2[[#This Row],[!Type]] = "id", "rg:None","rg:True"),"rg:None")</f>
        <v>rg:None</v>
      </c>
    </row>
    <row r="142" spans="1:25" s="4" customFormat="1" ht="16.05" customHeight="1" x14ac:dyDescent="0.3">
      <c r="A142" s="5" t="s">
        <v>0</v>
      </c>
      <c r="B142" s="5" t="s">
        <v>7</v>
      </c>
      <c r="C142" s="5">
        <v>100</v>
      </c>
      <c r="D142" s="5" t="s">
        <v>17</v>
      </c>
      <c r="E142" s="68" t="s">
        <v>85</v>
      </c>
      <c r="F142" s="5" t="s">
        <v>5</v>
      </c>
      <c r="G142" s="20" t="s">
        <v>38</v>
      </c>
      <c r="I142" s="5" t="str">
        <f t="shared" ref="I142:I160" si="20">IF(LEN(A142) &gt; 0,"Defs","-")</f>
        <v>Defs</v>
      </c>
      <c r="J142" s="8" t="str">
        <f>IF(Table2[[#This Row],[!Type]]=J$1, J$1,"rg:None")</f>
        <v>rg:None</v>
      </c>
      <c r="K142" s="8" t="str">
        <f>IF(Table2[[#This Row],[!Type]]=K$1, K$1,"rg:None")</f>
        <v>rg:None</v>
      </c>
      <c r="L142" s="8" t="str">
        <f>IF(Table2[[#This Row],[!Type]]=L$1, L$1,"rg:None")</f>
        <v>rg:None</v>
      </c>
      <c r="M142" s="8" t="str">
        <f>IF(Table2[[#This Row],[!Type]]=M$1, M$1,"rg:None")</f>
        <v>rg:None</v>
      </c>
      <c r="N142" s="8" t="str">
        <f>IF(Table2[[#This Row],[!Type]]=N$1, N$1,"rg:None")</f>
        <v>rg:None</v>
      </c>
      <c r="O142" s="8" t="str">
        <f>IF(Table2[[#This Row],[!Type]]=O$1, O$1,"rg:None")</f>
        <v>rg:None</v>
      </c>
      <c r="P142" s="5" t="str">
        <f>IF(Table2[[#This Row],[!Type]]=P$1, P$1,"rg:None")</f>
        <v>rg:None</v>
      </c>
      <c r="Q142" s="5" t="str">
        <f>IF(Table2[[#This Row],[!Type]]=Q$1, Q$1,"rg:None")</f>
        <v>rg:None</v>
      </c>
      <c r="R142" s="5" t="str">
        <f>IF(Table2[[#This Row],[!Type]]=R$1, R$1,"rg:None")</f>
        <v>string</v>
      </c>
      <c r="S142" s="5" t="str">
        <f>IF(Table2[[#This Row],[!Type]]=S$1, S$1,"rg:None")</f>
        <v>rg:None</v>
      </c>
      <c r="T142" s="8">
        <f>IF(LEN(Table2[[#This Row],[!Length]]) &gt; 0, Table2[[#This Row],[!Length]], "rg:None")</f>
        <v>100</v>
      </c>
      <c r="U142" s="8" t="str">
        <f>IF(LEN(Table2[[#This Row],[!Name]]) &gt; 0, Table2[[#This Row],[!Name]], "rg:None")</f>
        <v>surname</v>
      </c>
      <c r="V142" s="8" t="str">
        <f>IF(LEN(Table2[[#This Row],[!Description]]) &gt; 0, Table2[[#This Row],[!Description]], "rg:None")</f>
        <v>Surname of the user.</v>
      </c>
      <c r="W142" s="8" t="str">
        <f>IF(LEN(Table2[[#This Row],[!FK]])&gt;0,Table2[[#This Row],[!FK]],"rg:None")</f>
        <v>rg:None</v>
      </c>
      <c r="X142" s="8" t="str">
        <f>IF(LEN(concatif2(A:A,Table2[[#This Row],[!Table]],G:G,"Y",D:D,",")) &gt; 0,"rg:[ { 'req' : '"&amp;concatif2(A:A,Table2[[#This Row],[!Table]],G:G,"Y",D:D,"' }, { 'req': '")&amp;"'} ]","rg:[]")</f>
        <v>rg:[ { 'req' : 'id' }, { 'req': 'givenName' }, { 'req': 'surname'} ]</v>
      </c>
      <c r="Y142" s="8" t="str">
        <f>IF(LEN(Table2[[#This Row],[!Unique]])&gt;0,IF(Table2[[#This Row],[!Type]] = "id", "rg:None","rg:True"),"rg:None")</f>
        <v>rg:None</v>
      </c>
    </row>
    <row r="143" spans="1:25" s="4" customFormat="1" ht="16.05" customHeight="1" x14ac:dyDescent="0.3">
      <c r="A143" s="5" t="s">
        <v>0</v>
      </c>
      <c r="B143" s="5" t="s">
        <v>7</v>
      </c>
      <c r="C143" s="5">
        <v>150</v>
      </c>
      <c r="D143" s="5" t="s">
        <v>32</v>
      </c>
      <c r="E143" s="68" t="s">
        <v>87</v>
      </c>
      <c r="F143" s="5" t="s">
        <v>5</v>
      </c>
      <c r="I143" s="5" t="str">
        <f t="shared" si="20"/>
        <v>Defs</v>
      </c>
      <c r="J143" s="8" t="str">
        <f>IF(Table2[[#This Row],[!Type]]=J$1, J$1,"rg:None")</f>
        <v>rg:None</v>
      </c>
      <c r="K143" s="8" t="str">
        <f>IF(Table2[[#This Row],[!Type]]=K$1, K$1,"rg:None")</f>
        <v>rg:None</v>
      </c>
      <c r="L143" s="8" t="str">
        <f>IF(Table2[[#This Row],[!Type]]=L$1, L$1,"rg:None")</f>
        <v>rg:None</v>
      </c>
      <c r="M143" s="8" t="str">
        <f>IF(Table2[[#This Row],[!Type]]=M$1, M$1,"rg:None")</f>
        <v>rg:None</v>
      </c>
      <c r="N143" s="8" t="str">
        <f>IF(Table2[[#This Row],[!Type]]=N$1, N$1,"rg:None")</f>
        <v>rg:None</v>
      </c>
      <c r="O143" s="8" t="str">
        <f>IF(Table2[[#This Row],[!Type]]=O$1, O$1,"rg:None")</f>
        <v>rg:None</v>
      </c>
      <c r="P143" s="5" t="str">
        <f>IF(Table2[[#This Row],[!Type]]=P$1, P$1,"rg:None")</f>
        <v>rg:None</v>
      </c>
      <c r="Q143" s="5" t="str">
        <f>IF(Table2[[#This Row],[!Type]]=Q$1, Q$1,"rg:None")</f>
        <v>rg:None</v>
      </c>
      <c r="R143" s="5" t="str">
        <f>IF(Table2[[#This Row],[!Type]]=R$1, R$1,"rg:None")</f>
        <v>string</v>
      </c>
      <c r="S143" s="5" t="str">
        <f>IF(Table2[[#This Row],[!Type]]=S$1, S$1,"rg:None")</f>
        <v>rg:None</v>
      </c>
      <c r="T143" s="8">
        <f>IF(LEN(Table2[[#This Row],[!Length]]) &gt; 0, Table2[[#This Row],[!Length]], "rg:None")</f>
        <v>150</v>
      </c>
      <c r="U143" s="8" t="str">
        <f>IF(LEN(Table2[[#This Row],[!Name]]) &gt; 0, Table2[[#This Row],[!Name]], "rg:None")</f>
        <v>email</v>
      </c>
      <c r="V143" s="8" t="str">
        <f>IF(LEN(Table2[[#This Row],[!Description]]) &gt; 0, Table2[[#This Row],[!Description]], "rg:None")</f>
        <v>The email address of the user in the system.</v>
      </c>
      <c r="W143" s="8" t="str">
        <f>IF(LEN(Table2[[#This Row],[!FK]])&gt;0,Table2[[#This Row],[!FK]],"rg:None")</f>
        <v>rg:None</v>
      </c>
      <c r="X143" s="8" t="str">
        <f>IF(LEN(concatif2(A:A,Table2[[#This Row],[!Table]],G:G,"Y",D:D,",")) &gt; 0,"rg:[ { 'req' : '"&amp;concatif2(A:A,Table2[[#This Row],[!Table]],G:G,"Y",D:D,"' }, { 'req': '")&amp;"'} ]","rg:[]")</f>
        <v>rg:[ { 'req' : 'id' }, { 'req': 'givenName' }, { 'req': 'surname'} ]</v>
      </c>
      <c r="Y143" s="8" t="str">
        <f>IF(LEN(Table2[[#This Row],[!Unique]])&gt;0,IF(Table2[[#This Row],[!Type]] = "id", "rg:None","rg:True"),"rg:None")</f>
        <v>rg:None</v>
      </c>
    </row>
    <row r="144" spans="1:25" s="4" customFormat="1" ht="28.8" customHeight="1" x14ac:dyDescent="0.3">
      <c r="A144" s="5" t="s">
        <v>0</v>
      </c>
      <c r="B144" s="5" t="s">
        <v>7</v>
      </c>
      <c r="C144" s="5">
        <v>500</v>
      </c>
      <c r="D144" s="65" t="s">
        <v>164</v>
      </c>
      <c r="E144" s="69" t="s">
        <v>305</v>
      </c>
      <c r="F144" s="5" t="s">
        <v>5</v>
      </c>
      <c r="I144" s="5" t="str">
        <f t="shared" si="20"/>
        <v>Defs</v>
      </c>
      <c r="J144" s="8" t="str">
        <f>IF(Table2[[#This Row],[!Type]]=J$1, J$1,"rg:None")</f>
        <v>rg:None</v>
      </c>
      <c r="K144" s="8" t="str">
        <f>IF(Table2[[#This Row],[!Type]]=K$1, K$1,"rg:None")</f>
        <v>rg:None</v>
      </c>
      <c r="L144" s="8" t="str">
        <f>IF(Table2[[#This Row],[!Type]]=L$1, L$1,"rg:None")</f>
        <v>rg:None</v>
      </c>
      <c r="M144" s="8" t="str">
        <f>IF(Table2[[#This Row],[!Type]]=M$1, M$1,"rg:None")</f>
        <v>rg:None</v>
      </c>
      <c r="N144" s="8" t="str">
        <f>IF(Table2[[#This Row],[!Type]]=N$1, N$1,"rg:None")</f>
        <v>rg:None</v>
      </c>
      <c r="O144" s="8" t="str">
        <f>IF(Table2[[#This Row],[!Type]]=O$1, O$1,"rg:None")</f>
        <v>rg:None</v>
      </c>
      <c r="P144" s="5" t="str">
        <f>IF(Table2[[#This Row],[!Type]]=P$1, P$1,"rg:None")</f>
        <v>rg:None</v>
      </c>
      <c r="Q144" s="5" t="str">
        <f>IF(Table2[[#This Row],[!Type]]=Q$1, Q$1,"rg:None")</f>
        <v>rg:None</v>
      </c>
      <c r="R144" s="5" t="str">
        <f>IF(Table2[[#This Row],[!Type]]=R$1, R$1,"rg:None")</f>
        <v>string</v>
      </c>
      <c r="S144" s="5" t="str">
        <f>IF(Table2[[#This Row],[!Type]]=S$1, S$1,"rg:None")</f>
        <v>rg:None</v>
      </c>
      <c r="T144" s="8">
        <f>IF(LEN(Table2[[#This Row],[!Length]]) &gt; 0, Table2[[#This Row],[!Length]], "rg:None")</f>
        <v>500</v>
      </c>
      <c r="U144" s="8" t="str">
        <f>IF(LEN(Table2[[#This Row],[!Name]]) &gt; 0, Table2[[#This Row],[!Name]], "rg:None")</f>
        <v>userId</v>
      </c>
      <c r="V144" s="8" t="str">
        <f>IF(LEN(Table2[[#This Row],[!Description]]) &gt; 0, Table2[[#This Row],[!Description]], "rg:None")</f>
        <v>The text user ID of the user in the given Authorization Directory.</v>
      </c>
      <c r="W144" s="8" t="str">
        <f>IF(LEN(Table2[[#This Row],[!FK]])&gt;0,Table2[[#This Row],[!FK]],"rg:None")</f>
        <v>rg:None</v>
      </c>
      <c r="X144" s="8" t="str">
        <f>IF(LEN(concatif2(A:A,Table2[[#This Row],[!Table]],G:G,"Y",D:D,",")) &gt; 0,"rg:[ { 'req' : '"&amp;concatif2(A:A,Table2[[#This Row],[!Table]],G:G,"Y",D:D,"' }, { 'req': '")&amp;"'} ]","rg:[]")</f>
        <v>rg:[ { 'req' : 'id' }, { 'req': 'givenName' }, { 'req': 'surname'} ]</v>
      </c>
      <c r="Y144" s="8" t="str">
        <f>IF(LEN(Table2[[#This Row],[!Unique]])&gt;0,IF(Table2[[#This Row],[!Type]] = "id", "rg:None","rg:True"),"rg:None")</f>
        <v>rg:None</v>
      </c>
    </row>
    <row r="145" spans="1:25" s="4" customFormat="1" ht="115.2" customHeight="1" x14ac:dyDescent="0.3">
      <c r="A145" s="5" t="s">
        <v>0</v>
      </c>
      <c r="B145" s="5" t="s">
        <v>7</v>
      </c>
      <c r="C145" s="5">
        <v>100</v>
      </c>
      <c r="D145" s="5" t="s">
        <v>33</v>
      </c>
      <c r="E145" s="68" t="s">
        <v>89</v>
      </c>
      <c r="F145" s="5" t="s">
        <v>5</v>
      </c>
      <c r="I145" s="5" t="str">
        <f t="shared" si="20"/>
        <v>Defs</v>
      </c>
      <c r="J145" s="8" t="str">
        <f>IF(Table2[[#This Row],[!Type]]=J$1, J$1,"rg:None")</f>
        <v>rg:None</v>
      </c>
      <c r="K145" s="8" t="str">
        <f>IF(Table2[[#This Row],[!Type]]=K$1, K$1,"rg:None")</f>
        <v>rg:None</v>
      </c>
      <c r="L145" s="8" t="str">
        <f>IF(Table2[[#This Row],[!Type]]=L$1, L$1,"rg:None")</f>
        <v>rg:None</v>
      </c>
      <c r="M145" s="8" t="str">
        <f>IF(Table2[[#This Row],[!Type]]=M$1, M$1,"rg:None")</f>
        <v>rg:None</v>
      </c>
      <c r="N145" s="8" t="str">
        <f>IF(Table2[[#This Row],[!Type]]=N$1, N$1,"rg:None")</f>
        <v>rg:None</v>
      </c>
      <c r="O145" s="8" t="str">
        <f>IF(Table2[[#This Row],[!Type]]=O$1, O$1,"rg:None")</f>
        <v>rg:None</v>
      </c>
      <c r="P145" s="5" t="str">
        <f>IF(Table2[[#This Row],[!Type]]=P$1, P$1,"rg:None")</f>
        <v>rg:None</v>
      </c>
      <c r="Q145" s="5" t="str">
        <f>IF(Table2[[#This Row],[!Type]]=Q$1, Q$1,"rg:None")</f>
        <v>rg:None</v>
      </c>
      <c r="R145" s="5" t="str">
        <f>IF(Table2[[#This Row],[!Type]]=R$1, R$1,"rg:None")</f>
        <v>string</v>
      </c>
      <c r="S145" s="5" t="str">
        <f>IF(Table2[[#This Row],[!Type]]=S$1, S$1,"rg:None")</f>
        <v>rg:None</v>
      </c>
      <c r="T145" s="8">
        <f>IF(LEN(Table2[[#This Row],[!Length]]) &gt; 0, Table2[[#This Row],[!Length]], "rg:None")</f>
        <v>100</v>
      </c>
      <c r="U145" s="8" t="str">
        <f>IF(LEN(Table2[[#This Row],[!Name]]) &gt; 0, Table2[[#This Row],[!Name]], "rg:None")</f>
        <v>guid</v>
      </c>
      <c r="V145"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45" s="8" t="str">
        <f>IF(LEN(Table2[[#This Row],[!FK]])&gt;0,Table2[[#This Row],[!FK]],"rg:None")</f>
        <v>rg:None</v>
      </c>
      <c r="X145" s="8" t="str">
        <f>IF(LEN(concatif2(A:A,Table2[[#This Row],[!Table]],G:G,"Y",D:D,",")) &gt; 0,"rg:[ { 'req' : '"&amp;concatif2(A:A,Table2[[#This Row],[!Table]],G:G,"Y",D:D,"' }, { 'req': '")&amp;"'} ]","rg:[]")</f>
        <v>rg:[ { 'req' : 'id' }, { 'req': 'givenName' }, { 'req': 'surname'} ]</v>
      </c>
      <c r="Y145" s="8" t="str">
        <f>IF(LEN(Table2[[#This Row],[!Unique]])&gt;0,IF(Table2[[#This Row],[!Type]] = "id", "rg:None","rg:True"),"rg:None")</f>
        <v>rg:None</v>
      </c>
    </row>
    <row r="146" spans="1:25" s="4" customFormat="1" ht="16.649999999999999" customHeight="1" x14ac:dyDescent="0.3">
      <c r="A146" s="5" t="s">
        <v>0</v>
      </c>
      <c r="B146" s="5" t="s">
        <v>7</v>
      </c>
      <c r="C146" s="5">
        <v>100</v>
      </c>
      <c r="D146" s="65" t="s">
        <v>306</v>
      </c>
      <c r="E146" s="69" t="s">
        <v>307</v>
      </c>
      <c r="F146" s="5" t="s">
        <v>5</v>
      </c>
      <c r="I146" s="5" t="str">
        <f t="shared" si="20"/>
        <v>Defs</v>
      </c>
      <c r="J146" s="8" t="str">
        <f>IF(Table2[[#This Row],[!Type]]=J$1, J$1,"rg:None")</f>
        <v>rg:None</v>
      </c>
      <c r="K146" s="8" t="str">
        <f>IF(Table2[[#This Row],[!Type]]=K$1, K$1,"rg:None")</f>
        <v>rg:None</v>
      </c>
      <c r="L146" s="8" t="str">
        <f>IF(Table2[[#This Row],[!Type]]=L$1, L$1,"rg:None")</f>
        <v>rg:None</v>
      </c>
      <c r="M146" s="8" t="str">
        <f>IF(Table2[[#This Row],[!Type]]=M$1, M$1,"rg:None")</f>
        <v>rg:None</v>
      </c>
      <c r="N146" s="8" t="str">
        <f>IF(Table2[[#This Row],[!Type]]=N$1, N$1,"rg:None")</f>
        <v>rg:None</v>
      </c>
      <c r="O146" s="8" t="str">
        <f>IF(Table2[[#This Row],[!Type]]=O$1, O$1,"rg:None")</f>
        <v>rg:None</v>
      </c>
      <c r="P146" s="5" t="str">
        <f>IF(Table2[[#This Row],[!Type]]=P$1, P$1,"rg:None")</f>
        <v>rg:None</v>
      </c>
      <c r="Q146" s="5" t="str">
        <f>IF(Table2[[#This Row],[!Type]]=Q$1, Q$1,"rg:None")</f>
        <v>rg:None</v>
      </c>
      <c r="R146" s="5" t="str">
        <f>IF(Table2[[#This Row],[!Type]]=R$1, R$1,"rg:None")</f>
        <v>string</v>
      </c>
      <c r="S146" s="5" t="str">
        <f>IF(Table2[[#This Row],[!Type]]=S$1, S$1,"rg:None")</f>
        <v>rg:None</v>
      </c>
      <c r="T146" s="8">
        <f>IF(LEN(Table2[[#This Row],[!Length]]) &gt; 0, Table2[[#This Row],[!Length]], "rg:None")</f>
        <v>100</v>
      </c>
      <c r="U146" s="8" t="str">
        <f>IF(LEN(Table2[[#This Row],[!Name]]) &gt; 0, Table2[[#This Row],[!Name]], "rg:None")</f>
        <v>authorizationDirectory</v>
      </c>
      <c r="V146" s="8" t="str">
        <f>IF(LEN(Table2[[#This Row],[!Description]]) &gt; 0, Table2[[#This Row],[!Description]], "rg:None")</f>
        <v>The name of the Authorization Directory from with which the user Id is recorded.</v>
      </c>
      <c r="W146" s="8" t="str">
        <f>IF(LEN(Table2[[#This Row],[!FK]])&gt;0,Table2[[#This Row],[!FK]],"rg:None")</f>
        <v>rg:None</v>
      </c>
      <c r="X146" s="8" t="str">
        <f>IF(LEN(concatif2(A:A,Table2[[#This Row],[!Table]],G:G,"Y",D:D,",")) &gt; 0,"rg:[ { 'req' : '"&amp;concatif2(A:A,Table2[[#This Row],[!Table]],G:G,"Y",D:D,"' }, { 'req': '")&amp;"'} ]","rg:[]")</f>
        <v>rg:[ { 'req' : 'id' }, { 'req': 'givenName' }, { 'req': 'surname'} ]</v>
      </c>
      <c r="Y146" s="8" t="str">
        <f>IF(LEN(Table2[[#This Row],[!Unique]])&gt;0,IF(Table2[[#This Row],[!Type]] = "id", "rg:None","rg:True"),"rg:None")</f>
        <v>rg:None</v>
      </c>
    </row>
    <row r="147" spans="1:25" s="4" customFormat="1" ht="72" customHeight="1" x14ac:dyDescent="0.3">
      <c r="A147" s="5" t="s">
        <v>34</v>
      </c>
      <c r="B147" s="5" t="s">
        <v>4</v>
      </c>
      <c r="C147" s="5"/>
      <c r="D147" s="5" t="s">
        <v>34</v>
      </c>
      <c r="E147" s="68" t="s">
        <v>90</v>
      </c>
      <c r="F147" s="5" t="s">
        <v>5</v>
      </c>
      <c r="I147" s="5" t="str">
        <f t="shared" si="20"/>
        <v>Defs</v>
      </c>
      <c r="J147" s="8" t="str">
        <f>IF(Table2[[#This Row],[!Type]]=J$1, J$1,"rg:None")</f>
        <v>rg:None</v>
      </c>
      <c r="K147" s="8" t="str">
        <f>IF(Table2[[#This Row],[!Type]]=K$1, K$1,"rg:None")</f>
        <v>rg:None</v>
      </c>
      <c r="L147" s="8" t="str">
        <f>IF(Table2[[#This Row],[!Type]]=L$1, L$1,"rg:None")</f>
        <v>rg:None</v>
      </c>
      <c r="M147" s="8" t="str">
        <f>IF(Table2[[#This Row],[!Type]]=M$1, M$1,"rg:None")</f>
        <v>rg:None</v>
      </c>
      <c r="N147" s="8" t="str">
        <f>IF(Table2[[#This Row],[!Type]]=N$1, N$1,"rg:None")</f>
        <v>rg:None</v>
      </c>
      <c r="O147" s="8"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table</v>
      </c>
      <c r="T147" s="8" t="str">
        <f>IF(LEN(Table2[[#This Row],[!Length]]) &gt; 0, Table2[[#This Row],[!Length]], "rg:None")</f>
        <v>rg:None</v>
      </c>
      <c r="U147" s="8" t="str">
        <f>IF(LEN(Table2[[#This Row],[!Name]]) &gt; 0, Table2[[#This Row],[!Name]], "rg:None")</f>
        <v>Role</v>
      </c>
      <c r="V147" s="8"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47" s="8" t="str">
        <f>IF(LEN(Table2[[#This Row],[!FK]])&gt;0,Table2[[#This Row],[!FK]],"rg:None")</f>
        <v>rg:None</v>
      </c>
      <c r="X147" s="8" t="str">
        <f>IF(LEN(concatif2(A:A,Table2[[#This Row],[!Table]],G:G,"Y",D:D,",")) &gt; 0,"rg:[ { 'req' : '"&amp;concatif2(A:A,Table2[[#This Row],[!Table]],G:G,"Y",D:D,"' }, { 'req': '")&amp;"'} ]","rg:[]")</f>
        <v>rg:[ { 'req' : 'id' }, { 'req': 'name' }, { 'req': 'description'} ]</v>
      </c>
      <c r="Y147" s="8" t="str">
        <f>IF(LEN(Table2[[#This Row],[!Unique]])&gt;0,IF(Table2[[#This Row],[!Type]] = "id", "rg:None","rg:True"),"rg:None")</f>
        <v>rg:None</v>
      </c>
    </row>
    <row r="148" spans="1:25" s="4" customFormat="1" x14ac:dyDescent="0.3">
      <c r="A148" s="5" t="s">
        <v>34</v>
      </c>
      <c r="B148" s="5" t="s">
        <v>6</v>
      </c>
      <c r="C148" s="5"/>
      <c r="D148" s="5" t="s">
        <v>6</v>
      </c>
      <c r="E148" s="68" t="s">
        <v>243</v>
      </c>
      <c r="F148" s="5" t="s">
        <v>5</v>
      </c>
      <c r="G148" s="4" t="s">
        <v>38</v>
      </c>
      <c r="H148" s="30" t="s">
        <v>38</v>
      </c>
      <c r="I148" s="5" t="str">
        <f t="shared" si="20"/>
        <v>Defs</v>
      </c>
      <c r="J148" s="8" t="str">
        <f>IF(Table2[[#This Row],[!Type]]=J$1, J$1,"rg:None")</f>
        <v>rg:None</v>
      </c>
      <c r="K148" s="8" t="str">
        <f>IF(Table2[[#This Row],[!Type]]=K$1, K$1,"rg:None")</f>
        <v>rg:None</v>
      </c>
      <c r="L148" s="8" t="str">
        <f>IF(Table2[[#This Row],[!Type]]=L$1, L$1,"rg:None")</f>
        <v>rg:None</v>
      </c>
      <c r="M148" s="8" t="str">
        <f>IF(Table2[[#This Row],[!Type]]=M$1, M$1,"rg:None")</f>
        <v>id</v>
      </c>
      <c r="N148" s="8" t="str">
        <f>IF(Table2[[#This Row],[!Type]]=N$1, N$1,"rg:None")</f>
        <v>rg:None</v>
      </c>
      <c r="O148" s="8"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8" t="str">
        <f>IF(LEN(Table2[[#This Row],[!Length]]) &gt; 0, Table2[[#This Row],[!Length]], "rg:None")</f>
        <v>rg:None</v>
      </c>
      <c r="U148" s="8" t="str">
        <f>IF(LEN(Table2[[#This Row],[!Name]]) &gt; 0, Table2[[#This Row],[!Name]], "rg:None")</f>
        <v>id</v>
      </c>
      <c r="V148" s="8" t="str">
        <f>IF(LEN(Table2[[#This Row],[!Description]]) &gt; 0, Table2[[#This Row],[!Description]], "rg:None")</f>
        <v>A system-generated unique identifier for a Role.</v>
      </c>
      <c r="W148" s="8" t="str">
        <f>IF(LEN(Table2[[#This Row],[!FK]])&gt;0,Table2[[#This Row],[!FK]],"rg:None")</f>
        <v>rg:None</v>
      </c>
      <c r="X148" s="8" t="str">
        <f>IF(LEN(concatif2(A:A,Table2[[#This Row],[!Table]],G:G,"Y",D:D,",")) &gt; 0,"rg:[ { 'req' : '"&amp;concatif2(A:A,Table2[[#This Row],[!Table]],G:G,"Y",D:D,"' }, { 'req': '")&amp;"'} ]","rg:[]")</f>
        <v>rg:[ { 'req' : 'id' }, { 'req': 'name' }, { 'req': 'description'} ]</v>
      </c>
      <c r="Y148" s="8" t="str">
        <f>IF(LEN(Table2[[#This Row],[!Unique]])&gt;0,IF(Table2[[#This Row],[!Type]] = "id", "rg:None","rg:True"),"rg:None")</f>
        <v>rg:None</v>
      </c>
    </row>
    <row r="149" spans="1:25" s="4" customFormat="1" ht="28.8" customHeight="1" x14ac:dyDescent="0.3">
      <c r="A149" s="5" t="s">
        <v>34</v>
      </c>
      <c r="B149" s="5" t="s">
        <v>7</v>
      </c>
      <c r="C149" s="5">
        <v>200</v>
      </c>
      <c r="D149" s="5" t="s">
        <v>14</v>
      </c>
      <c r="E149" s="68" t="s">
        <v>91</v>
      </c>
      <c r="F149" s="5" t="s">
        <v>5</v>
      </c>
      <c r="G149" s="4" t="s">
        <v>38</v>
      </c>
      <c r="I149" s="5" t="str">
        <f t="shared" si="20"/>
        <v>Defs</v>
      </c>
      <c r="J149" s="8" t="str">
        <f>IF(Table2[[#This Row],[!Type]]=J$1, J$1,"rg:None")</f>
        <v>rg:None</v>
      </c>
      <c r="K149" s="8" t="str">
        <f>IF(Table2[[#This Row],[!Type]]=K$1, K$1,"rg:None")</f>
        <v>rg:None</v>
      </c>
      <c r="L149" s="8" t="str">
        <f>IF(Table2[[#This Row],[!Type]]=L$1, L$1,"rg:None")</f>
        <v>rg:None</v>
      </c>
      <c r="M149" s="8" t="str">
        <f>IF(Table2[[#This Row],[!Type]]=M$1, M$1,"rg:None")</f>
        <v>rg:None</v>
      </c>
      <c r="N149" s="8" t="str">
        <f>IF(Table2[[#This Row],[!Type]]=N$1, N$1,"rg:None")</f>
        <v>rg:None</v>
      </c>
      <c r="O149" s="8" t="str">
        <f>IF(Table2[[#This Row],[!Type]]=O$1, O$1,"rg:None")</f>
        <v>rg:None</v>
      </c>
      <c r="P149" s="5" t="str">
        <f>IF(Table2[[#This Row],[!Type]]=P$1, P$1,"rg:None")</f>
        <v>rg:None</v>
      </c>
      <c r="Q149" s="5" t="str">
        <f>IF(Table2[[#This Row],[!Type]]=Q$1, Q$1,"rg:None")</f>
        <v>rg:None</v>
      </c>
      <c r="R149" s="5" t="str">
        <f>IF(Table2[[#This Row],[!Type]]=R$1, R$1,"rg:None")</f>
        <v>string</v>
      </c>
      <c r="S149" s="5" t="str">
        <f>IF(Table2[[#This Row],[!Type]]=S$1, S$1,"rg:None")</f>
        <v>rg:None</v>
      </c>
      <c r="T149" s="8">
        <f>IF(LEN(Table2[[#This Row],[!Length]]) &gt; 0, Table2[[#This Row],[!Length]], "rg:None")</f>
        <v>200</v>
      </c>
      <c r="U149" s="8" t="str">
        <f>IF(LEN(Table2[[#This Row],[!Name]]) &gt; 0, Table2[[#This Row],[!Name]], "rg:None")</f>
        <v>name</v>
      </c>
      <c r="V149" s="8" t="str">
        <f>IF(LEN(Table2[[#This Row],[!Description]]) &gt; 0, Table2[[#This Row],[!Description]], "rg:None")</f>
        <v>The name of the Role, as established by the user creating the role.</v>
      </c>
      <c r="W149" s="8" t="str">
        <f>IF(LEN(Table2[[#This Row],[!FK]])&gt;0,Table2[[#This Row],[!FK]],"rg:None")</f>
        <v>rg:None</v>
      </c>
      <c r="X149" s="8" t="str">
        <f>IF(LEN(concatif2(A:A,Table2[[#This Row],[!Table]],G:G,"Y",D:D,",")) &gt; 0,"rg:[ { 'req' : '"&amp;concatif2(A:A,Table2[[#This Row],[!Table]],G:G,"Y",D:D,"' }, { 'req': '")&amp;"'} ]","rg:[]")</f>
        <v>rg:[ { 'req' : 'id' }, { 'req': 'name' }, { 'req': 'description'} ]</v>
      </c>
      <c r="Y149" s="8" t="str">
        <f>IF(LEN(Table2[[#This Row],[!Unique]])&gt;0,IF(Table2[[#This Row],[!Type]] = "id", "rg:None","rg:True"),"rg:None")</f>
        <v>rg:None</v>
      </c>
    </row>
    <row r="150" spans="1:25" s="4" customFormat="1" ht="28.8" customHeight="1" x14ac:dyDescent="0.3">
      <c r="A150" s="5" t="s">
        <v>34</v>
      </c>
      <c r="B150" s="5" t="s">
        <v>7</v>
      </c>
      <c r="C150" s="5">
        <v>1000</v>
      </c>
      <c r="D150" s="5" t="s">
        <v>13</v>
      </c>
      <c r="E150" s="68" t="s">
        <v>92</v>
      </c>
      <c r="F150" s="5" t="s">
        <v>5</v>
      </c>
      <c r="G150" s="4" t="s">
        <v>38</v>
      </c>
      <c r="I150" s="5" t="str">
        <f t="shared" si="20"/>
        <v>Defs</v>
      </c>
      <c r="J150" s="8" t="str">
        <f>IF(Table2[[#This Row],[!Type]]=J$1, J$1,"rg:None")</f>
        <v>rg:None</v>
      </c>
      <c r="K150" s="8" t="str">
        <f>IF(Table2[[#This Row],[!Type]]=K$1, K$1,"rg:None")</f>
        <v>rg:None</v>
      </c>
      <c r="L150" s="8" t="str">
        <f>IF(Table2[[#This Row],[!Type]]=L$1, L$1,"rg:None")</f>
        <v>rg:None</v>
      </c>
      <c r="M150" s="8" t="str">
        <f>IF(Table2[[#This Row],[!Type]]=M$1, M$1,"rg:None")</f>
        <v>rg:None</v>
      </c>
      <c r="N150" s="8" t="str">
        <f>IF(Table2[[#This Row],[!Type]]=N$1, N$1,"rg:None")</f>
        <v>rg:None</v>
      </c>
      <c r="O150" s="8" t="str">
        <f>IF(Table2[[#This Row],[!Type]]=O$1, O$1,"rg:None")</f>
        <v>rg:None</v>
      </c>
      <c r="P150" s="5" t="str">
        <f>IF(Table2[[#This Row],[!Type]]=P$1, P$1,"rg:None")</f>
        <v>rg:None</v>
      </c>
      <c r="Q150" s="5" t="str">
        <f>IF(Table2[[#This Row],[!Type]]=Q$1, Q$1,"rg:None")</f>
        <v>rg:None</v>
      </c>
      <c r="R150" s="5" t="str">
        <f>IF(Table2[[#This Row],[!Type]]=R$1, R$1,"rg:None")</f>
        <v>string</v>
      </c>
      <c r="S150" s="5" t="str">
        <f>IF(Table2[[#This Row],[!Type]]=S$1, S$1,"rg:None")</f>
        <v>rg:None</v>
      </c>
      <c r="T150" s="8">
        <f>IF(LEN(Table2[[#This Row],[!Length]]) &gt; 0, Table2[[#This Row],[!Length]], "rg:None")</f>
        <v>1000</v>
      </c>
      <c r="U150" s="8" t="str">
        <f>IF(LEN(Table2[[#This Row],[!Name]]) &gt; 0, Table2[[#This Row],[!Name]], "rg:None")</f>
        <v>description</v>
      </c>
      <c r="V150" s="8" t="str">
        <f>IF(LEN(Table2[[#This Row],[!Description]]) &gt; 0, Table2[[#This Row],[!Description]], "rg:None")</f>
        <v>A description of the role as set by the user creating/updating the role.</v>
      </c>
      <c r="W150" s="8" t="str">
        <f>IF(LEN(Table2[[#This Row],[!FK]])&gt;0,Table2[[#This Row],[!FK]],"rg:None")</f>
        <v>rg:None</v>
      </c>
      <c r="X150" s="8" t="str">
        <f>IF(LEN(concatif2(A:A,Table2[[#This Row],[!Table]],G:G,"Y",D:D,",")) &gt; 0,"rg:[ { 'req' : '"&amp;concatif2(A:A,Table2[[#This Row],[!Table]],G:G,"Y",D:D,"' }, { 'req': '")&amp;"'} ]","rg:[]")</f>
        <v>rg:[ { 'req' : 'id' }, { 'req': 'name' }, { 'req': 'description'} ]</v>
      </c>
      <c r="Y150" s="8" t="str">
        <f>IF(LEN(Table2[[#This Row],[!Unique]])&gt;0,IF(Table2[[#This Row],[!Type]] = "id", "rg:None","rg:True"),"rg:None")</f>
        <v>rg:None</v>
      </c>
    </row>
    <row r="151" spans="1:25" s="4" customFormat="1" ht="28.8" customHeight="1" x14ac:dyDescent="0.3">
      <c r="A151" s="90" t="s">
        <v>34</v>
      </c>
      <c r="B151" s="90" t="s">
        <v>10</v>
      </c>
      <c r="C151" s="5"/>
      <c r="D151" s="90" t="s">
        <v>351</v>
      </c>
      <c r="E151" s="91" t="s">
        <v>352</v>
      </c>
      <c r="F151" s="6"/>
      <c r="G151" s="14"/>
      <c r="H151" s="14"/>
      <c r="I151" s="4" t="str">
        <f>IF(LEN(A151) &gt; 0,"Defs","-")</f>
        <v>Defs</v>
      </c>
      <c r="J151" s="13" t="str">
        <f>IF(Table2[[#This Row],[!Type]]=J$1, J$1,"rg:None")</f>
        <v>boolean</v>
      </c>
      <c r="K151" s="13" t="str">
        <f>IF(Table2[[#This Row],[!Type]]=K$1, K$1,"rg:None")</f>
        <v>rg:None</v>
      </c>
      <c r="L151" s="13" t="str">
        <f>IF(Table2[[#This Row],[!Type]]=L$1, L$1,"rg:None")</f>
        <v>rg:None</v>
      </c>
      <c r="M151" s="13" t="str">
        <f>IF(Table2[[#This Row],[!Type]]=M$1, M$1,"rg:None")</f>
        <v>rg:None</v>
      </c>
      <c r="N151" s="13" t="str">
        <f>IF(Table2[[#This Row],[!Type]]=N$1, N$1,"rg:None")</f>
        <v>rg:None</v>
      </c>
      <c r="O151" s="13" t="str">
        <f>IF(Table2[[#This Row],[!Type]]=O$1, O$1,"rg:None")</f>
        <v>rg:None</v>
      </c>
      <c r="P151" s="4" t="str">
        <f>IF(Table2[[#This Row],[!Type]]=P$1, P$1,"rg:None")</f>
        <v>rg:None</v>
      </c>
      <c r="Q151" s="4" t="str">
        <f>IF(Table2[[#This Row],[!Type]]=Q$1, Q$1,"rg:None")</f>
        <v>rg:None</v>
      </c>
      <c r="R151" s="4" t="str">
        <f>IF(Table2[[#This Row],[!Type]]=R$1, R$1,"rg:None")</f>
        <v>rg:None</v>
      </c>
      <c r="S151" s="4" t="str">
        <f>IF(Table2[[#This Row],[!Type]]=S$1, S$1,"rg:None")</f>
        <v>rg:None</v>
      </c>
      <c r="T151" s="13" t="str">
        <f>IF(LEN(Table2[[#This Row],[!Length]]) &gt; 0, Table2[[#This Row],[!Length]], "rg:None")</f>
        <v>rg:None</v>
      </c>
      <c r="U151" s="13" t="str">
        <f>IF(LEN(Table2[[#This Row],[!Name]]) &gt; 0, Table2[[#This Row],[!Name]], "rg:None")</f>
        <v>isGovernmentRole</v>
      </c>
      <c r="V151" s="13" t="str">
        <f>IF(LEN(Table2[[#This Row],[!Description]]) &gt; 0, Table2[[#This Row],[!Description]], "rg:None")</f>
        <v>When true, the role is for Government users only and so is not visible to the Fuel Supplier Contact screen.</v>
      </c>
      <c r="W151" s="13" t="str">
        <f>IF(LEN(Table2[[#This Row],[!FK]])&gt;0,Table2[[#This Row],[!FK]],"rg:None")</f>
        <v>rg:None</v>
      </c>
      <c r="X151" s="13" t="str">
        <f>IF(LEN(concatif2(A:A,Table2[[#This Row],[!Table]],G:G,"Y",D:D,",")) &gt; 0,"rg:[ { 'req' : '"&amp;concatif2(A:A,Table2[[#This Row],[!Table]],G:G,"Y",D:D,"' }, { 'req': '")&amp;"'} ]","rg:[]")</f>
        <v>rg:[ { 'req' : 'id' }, { 'req': 'name' }, { 'req': 'description'} ]</v>
      </c>
      <c r="Y151" s="13" t="str">
        <f>IF(LEN(Table2[[#This Row],[!Unique]])&gt;0,IF(Table2[[#This Row],[!Type]] = "id", "rg:None","rg:True"),"rg:None")</f>
        <v>rg:None</v>
      </c>
    </row>
    <row r="152" spans="1:25" s="4" customFormat="1" ht="16.05" customHeight="1" x14ac:dyDescent="0.3">
      <c r="A152" s="73" t="s">
        <v>313</v>
      </c>
      <c r="B152" s="73" t="s">
        <v>4</v>
      </c>
      <c r="C152" s="5"/>
      <c r="D152" s="73" t="s">
        <v>313</v>
      </c>
      <c r="E152" s="74" t="s">
        <v>314</v>
      </c>
      <c r="F152" s="6"/>
      <c r="G152" s="14"/>
      <c r="H152" s="14"/>
      <c r="I152" s="4" t="str">
        <f t="shared" ref="I152:I155" si="21">IF(LEN(A152) &gt; 0,"Defs","-")</f>
        <v>Defs</v>
      </c>
      <c r="J152" s="13" t="str">
        <f>IF(Table2[[#This Row],[!Type]]=J$1, J$1,"rg:None")</f>
        <v>rg:None</v>
      </c>
      <c r="K152" s="13" t="str">
        <f>IF(Table2[[#This Row],[!Type]]=K$1, K$1,"rg:None")</f>
        <v>rg:None</v>
      </c>
      <c r="L152" s="13" t="str">
        <f>IF(Table2[[#This Row],[!Type]]=L$1, L$1,"rg:None")</f>
        <v>rg:None</v>
      </c>
      <c r="M152" s="13" t="str">
        <f>IF(Table2[[#This Row],[!Type]]=M$1, M$1,"rg:None")</f>
        <v>rg:None</v>
      </c>
      <c r="N152" s="13" t="str">
        <f>IF(Table2[[#This Row],[!Type]]=N$1, N$1,"rg:None")</f>
        <v>rg:None</v>
      </c>
      <c r="O152" s="13"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table</v>
      </c>
      <c r="T152" s="13" t="str">
        <f>IF(LEN(Table2[[#This Row],[!Length]]) &gt; 0, Table2[[#This Row],[!Length]], "rg:None")</f>
        <v>rg:None</v>
      </c>
      <c r="U152" s="13" t="str">
        <f>IF(LEN(Table2[[#This Row],[!Name]]) &gt; 0, Table2[[#This Row],[!Name]], "rg:None")</f>
        <v>UserRole</v>
      </c>
      <c r="V152" s="13" t="str">
        <f>IF(LEN(Table2[[#This Row],[!Description]]) &gt; 0, Table2[[#This Row],[!Description]], "rg:None")</f>
        <v>A link defining the Roles associated with each User.</v>
      </c>
      <c r="W152" s="13" t="str">
        <f>IF(LEN(Table2[[#This Row],[!FK]])&gt;0,Table2[[#This Row],[!FK]],"rg:None")</f>
        <v>rg:None</v>
      </c>
      <c r="X152" s="13" t="str">
        <f>IF(LEN(concatif2(A:A,Table2[[#This Row],[!Table]],G:G,"Y",D:D,",")) &gt; 0,"rg:[ { 'req' : '"&amp;concatif2(A:A,Table2[[#This Row],[!Table]],G:G,"Y",D:D,"' }, { 'req': '")&amp;"'} ]","rg:[]")</f>
        <v>rg:[ { 'req' : 'id' }, { 'req': 'userFK' }, { 'req': 'roleFK'} ]</v>
      </c>
      <c r="Y152" s="13" t="str">
        <f>IF(LEN(Table2[[#This Row],[!Unique]])&gt;0,IF(Table2[[#This Row],[!Type]] = "id", "rg:None","rg:True"),"rg:None")</f>
        <v>rg:None</v>
      </c>
    </row>
    <row r="153" spans="1:25" s="4" customFormat="1" x14ac:dyDescent="0.3">
      <c r="A153" s="73" t="s">
        <v>313</v>
      </c>
      <c r="B153" s="73" t="s">
        <v>6</v>
      </c>
      <c r="C153" s="5"/>
      <c r="D153" s="73" t="s">
        <v>6</v>
      </c>
      <c r="E153" s="74" t="s">
        <v>315</v>
      </c>
      <c r="F153" s="6"/>
      <c r="G153" s="75" t="s">
        <v>38</v>
      </c>
      <c r="H153" s="75" t="s">
        <v>38</v>
      </c>
      <c r="I153" s="4" t="str">
        <f t="shared" si="21"/>
        <v>Defs</v>
      </c>
      <c r="J153" s="13" t="str">
        <f>IF(Table2[[#This Row],[!Type]]=J$1, J$1,"rg:None")</f>
        <v>rg:None</v>
      </c>
      <c r="K153" s="13" t="str">
        <f>IF(Table2[[#This Row],[!Type]]=K$1, K$1,"rg:None")</f>
        <v>rg:None</v>
      </c>
      <c r="L153" s="13" t="str">
        <f>IF(Table2[[#This Row],[!Type]]=L$1, L$1,"rg:None")</f>
        <v>rg:None</v>
      </c>
      <c r="M153" s="13" t="str">
        <f>IF(Table2[[#This Row],[!Type]]=M$1, M$1,"rg:None")</f>
        <v>id</v>
      </c>
      <c r="N153" s="13" t="str">
        <f>IF(Table2[[#This Row],[!Type]]=N$1, N$1,"rg:None")</f>
        <v>rg:None</v>
      </c>
      <c r="O153" s="13"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rg:None</v>
      </c>
      <c r="T153" s="13" t="str">
        <f>IF(LEN(Table2[[#This Row],[!Length]]) &gt; 0, Table2[[#This Row],[!Length]], "rg:None")</f>
        <v>rg:None</v>
      </c>
      <c r="U153" s="13" t="str">
        <f>IF(LEN(Table2[[#This Row],[!Name]]) &gt; 0, Table2[[#This Row],[!Name]], "rg:None")</f>
        <v>id</v>
      </c>
      <c r="V153" s="13" t="str">
        <f>IF(LEN(Table2[[#This Row],[!Description]]) &gt; 0, Table2[[#This Row],[!Description]], "rg:None")</f>
        <v>A system-generated unique identifier for a UserRole.</v>
      </c>
      <c r="W153" s="13" t="str">
        <f>IF(LEN(Table2[[#This Row],[!FK]])&gt;0,Table2[[#This Row],[!FK]],"rg:None")</f>
        <v>rg:None</v>
      </c>
      <c r="X153" s="13" t="str">
        <f>IF(LEN(concatif2(A:A,Table2[[#This Row],[!Table]],G:G,"Y",D:D,",")) &gt; 0,"rg:[ { 'req' : '"&amp;concatif2(A:A,Table2[[#This Row],[!Table]],G:G,"Y",D:D,"' }, { 'req': '")&amp;"'} ]","rg:[]")</f>
        <v>rg:[ { 'req' : 'id' }, { 'req': 'userFK' }, { 'req': 'roleFK'} ]</v>
      </c>
      <c r="Y153" s="13" t="str">
        <f>IF(LEN(Table2[[#This Row],[!Unique]])&gt;0,IF(Table2[[#This Row],[!Type]] = "id", "rg:None","rg:True"),"rg:None")</f>
        <v>rg:None</v>
      </c>
    </row>
    <row r="154" spans="1:25" s="4" customFormat="1" ht="16.05" customHeight="1" x14ac:dyDescent="0.3">
      <c r="A154" s="73" t="s">
        <v>313</v>
      </c>
      <c r="B154" s="73" t="s">
        <v>8</v>
      </c>
      <c r="C154" s="5"/>
      <c r="D154" s="82" t="s">
        <v>325</v>
      </c>
      <c r="E154" s="74" t="s">
        <v>228</v>
      </c>
      <c r="F154" s="76" t="s">
        <v>0</v>
      </c>
      <c r="G154" s="75" t="s">
        <v>38</v>
      </c>
      <c r="H154" s="14"/>
      <c r="I154" s="4" t="str">
        <f t="shared" si="21"/>
        <v>Defs</v>
      </c>
      <c r="J154" s="13" t="str">
        <f>IF(Table2[[#This Row],[!Type]]=J$1, J$1,"rg:None")</f>
        <v>rg:None</v>
      </c>
      <c r="K154" s="13" t="str">
        <f>IF(Table2[[#This Row],[!Type]]=K$1, K$1,"rg:None")</f>
        <v>rg:None</v>
      </c>
      <c r="L154" s="13" t="str">
        <f>IF(Table2[[#This Row],[!Type]]=L$1, L$1,"rg:None")</f>
        <v>rg:None</v>
      </c>
      <c r="M154" s="13" t="str">
        <f>IF(Table2[[#This Row],[!Type]]=M$1, M$1,"rg:None")</f>
        <v>rg:None</v>
      </c>
      <c r="N154" s="13" t="str">
        <f>IF(Table2[[#This Row],[!Type]]=N$1, N$1,"rg:None")</f>
        <v>rg:None</v>
      </c>
      <c r="O154" s="13" t="str">
        <f>IF(Table2[[#This Row],[!Type]]=O$1, O$1,"rg:None")</f>
        <v>rg:None</v>
      </c>
      <c r="P154" s="4" t="str">
        <f>IF(Table2[[#This Row],[!Type]]=P$1, P$1,"rg:None")</f>
        <v>rg:None</v>
      </c>
      <c r="Q154" s="4" t="str">
        <f>IF(Table2[[#This Row],[!Type]]=Q$1, Q$1,"rg:None")</f>
        <v>ref</v>
      </c>
      <c r="R154" s="4" t="str">
        <f>IF(Table2[[#This Row],[!Type]]=R$1, R$1,"rg:None")</f>
        <v>rg:None</v>
      </c>
      <c r="S154" s="4" t="str">
        <f>IF(Table2[[#This Row],[!Type]]=S$1, S$1,"rg:None")</f>
        <v>rg:None</v>
      </c>
      <c r="T154" s="13" t="str">
        <f>IF(LEN(Table2[[#This Row],[!Length]]) &gt; 0, Table2[[#This Row],[!Length]], "rg:None")</f>
        <v>rg:None</v>
      </c>
      <c r="U154" s="13" t="str">
        <f>IF(LEN(Table2[[#This Row],[!Name]]) &gt; 0, Table2[[#This Row],[!Name]], "rg:None")</f>
        <v>userFK</v>
      </c>
      <c r="V154" s="13" t="str">
        <f>IF(LEN(Table2[[#This Row],[!Description]]) &gt; 0, Table2[[#This Row],[!Description]], "rg:None")</f>
        <v>A foreign key reference to a User.</v>
      </c>
      <c r="W154" s="13" t="str">
        <f>IF(LEN(Table2[[#This Row],[!FK]])&gt;0,Table2[[#This Row],[!FK]],"rg:None")</f>
        <v>User</v>
      </c>
      <c r="X154" s="13" t="str">
        <f>IF(LEN(concatif2(A:A,Table2[[#This Row],[!Table]],G:G,"Y",D:D,",")) &gt; 0,"rg:[ { 'req' : '"&amp;concatif2(A:A,Table2[[#This Row],[!Table]],G:G,"Y",D:D,"' }, { 'req': '")&amp;"'} ]","rg:[]")</f>
        <v>rg:[ { 'req' : 'id' }, { 'req': 'userFK' }, { 'req': 'roleFK'} ]</v>
      </c>
      <c r="Y154" s="13" t="str">
        <f>IF(LEN(Table2[[#This Row],[!Unique]])&gt;0,IF(Table2[[#This Row],[!Type]] = "id", "rg:None","rg:True"),"rg:None")</f>
        <v>rg:None</v>
      </c>
    </row>
    <row r="155" spans="1:25" s="4" customFormat="1" ht="16.05" customHeight="1" x14ac:dyDescent="0.3">
      <c r="A155" s="73" t="s">
        <v>313</v>
      </c>
      <c r="B155" s="73" t="s">
        <v>8</v>
      </c>
      <c r="C155" s="5"/>
      <c r="D155" s="82" t="s">
        <v>330</v>
      </c>
      <c r="E155" s="68" t="s">
        <v>245</v>
      </c>
      <c r="F155" s="76" t="s">
        <v>34</v>
      </c>
      <c r="G155" s="75" t="s">
        <v>38</v>
      </c>
      <c r="H155" s="14"/>
      <c r="I155" s="4" t="str">
        <f t="shared" si="21"/>
        <v>Defs</v>
      </c>
      <c r="J155" s="13" t="str">
        <f>IF(Table2[[#This Row],[!Type]]=J$1, J$1,"rg:None")</f>
        <v>rg:None</v>
      </c>
      <c r="K155" s="13" t="str">
        <f>IF(Table2[[#This Row],[!Type]]=K$1, K$1,"rg:None")</f>
        <v>rg:None</v>
      </c>
      <c r="L155" s="13" t="str">
        <f>IF(Table2[[#This Row],[!Type]]=L$1, L$1,"rg:None")</f>
        <v>rg:None</v>
      </c>
      <c r="M155" s="13" t="str">
        <f>IF(Table2[[#This Row],[!Type]]=M$1, M$1,"rg:None")</f>
        <v>rg:None</v>
      </c>
      <c r="N155" s="13" t="str">
        <f>IF(Table2[[#This Row],[!Type]]=N$1, N$1,"rg:None")</f>
        <v>rg:None</v>
      </c>
      <c r="O155" s="13" t="str">
        <f>IF(Table2[[#This Row],[!Type]]=O$1, O$1,"rg:None")</f>
        <v>rg:None</v>
      </c>
      <c r="P155" s="4" t="str">
        <f>IF(Table2[[#This Row],[!Type]]=P$1, P$1,"rg:None")</f>
        <v>rg:None</v>
      </c>
      <c r="Q155" s="4" t="str">
        <f>IF(Table2[[#This Row],[!Type]]=Q$1, Q$1,"rg:None")</f>
        <v>ref</v>
      </c>
      <c r="R155" s="4" t="str">
        <f>IF(Table2[[#This Row],[!Type]]=R$1, R$1,"rg:None")</f>
        <v>rg:None</v>
      </c>
      <c r="S155" s="4" t="str">
        <f>IF(Table2[[#This Row],[!Type]]=S$1, S$1,"rg:None")</f>
        <v>rg:None</v>
      </c>
      <c r="T155" s="13" t="str">
        <f>IF(LEN(Table2[[#This Row],[!Length]]) &gt; 0, Table2[[#This Row],[!Length]], "rg:None")</f>
        <v>rg:None</v>
      </c>
      <c r="U155" s="13" t="str">
        <f>IF(LEN(Table2[[#This Row],[!Name]]) &gt; 0, Table2[[#This Row],[!Name]], "rg:None")</f>
        <v>roleFK</v>
      </c>
      <c r="V155" s="13" t="str">
        <f>IF(LEN(Table2[[#This Row],[!Description]]) &gt; 0, Table2[[#This Row],[!Description]], "rg:None")</f>
        <v>A foreign key reference to a Role.</v>
      </c>
      <c r="W155" s="13" t="str">
        <f>IF(LEN(Table2[[#This Row],[!FK]])&gt;0,Table2[[#This Row],[!FK]],"rg:None")</f>
        <v>Role</v>
      </c>
      <c r="X155" s="13" t="str">
        <f>IF(LEN(concatif2(A:A,Table2[[#This Row],[!Table]],G:G,"Y",D:D,",")) &gt; 0,"rg:[ { 'req' : '"&amp;concatif2(A:A,Table2[[#This Row],[!Table]],G:G,"Y",D:D,"' }, { 'req': '")&amp;"'} ]","rg:[]")</f>
        <v>rg:[ { 'req' : 'id' }, { 'req': 'userFK' }, { 'req': 'roleFK'} ]</v>
      </c>
      <c r="Y155" s="13" t="str">
        <f>IF(LEN(Table2[[#This Row],[!Unique]])&gt;0,IF(Table2[[#This Row],[!Type]] = "id", "rg:None","rg:True"),"rg:None")</f>
        <v>rg:None</v>
      </c>
    </row>
    <row r="156" spans="1:25" s="4" customFormat="1" ht="129.6" customHeight="1" x14ac:dyDescent="0.3">
      <c r="A156" s="5" t="s">
        <v>36</v>
      </c>
      <c r="B156" s="5" t="s">
        <v>4</v>
      </c>
      <c r="C156" s="5"/>
      <c r="D156" s="5" t="s">
        <v>36</v>
      </c>
      <c r="E156" s="68" t="s">
        <v>94</v>
      </c>
      <c r="F156" s="5" t="s">
        <v>5</v>
      </c>
      <c r="I156" s="5" t="str">
        <f t="shared" si="20"/>
        <v>Defs</v>
      </c>
      <c r="J156" s="8" t="str">
        <f>IF(Table2[[#This Row],[!Type]]=J$1, J$1,"rg:None")</f>
        <v>rg:None</v>
      </c>
      <c r="K156" s="8" t="str">
        <f>IF(Table2[[#This Row],[!Type]]=K$1, K$1,"rg:None")</f>
        <v>rg:None</v>
      </c>
      <c r="L156" s="8" t="str">
        <f>IF(Table2[[#This Row],[!Type]]=L$1, L$1,"rg:None")</f>
        <v>rg:None</v>
      </c>
      <c r="M156" s="8" t="str">
        <f>IF(Table2[[#This Row],[!Type]]=M$1, M$1,"rg:None")</f>
        <v>rg:None</v>
      </c>
      <c r="N156" s="8" t="str">
        <f>IF(Table2[[#This Row],[!Type]]=N$1, N$1,"rg:None")</f>
        <v>rg:None</v>
      </c>
      <c r="O156" s="8"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table</v>
      </c>
      <c r="T156" s="8" t="str">
        <f>IF(LEN(Table2[[#This Row],[!Length]]) &gt; 0, Table2[[#This Row],[!Length]], "rg:None")</f>
        <v>rg:None</v>
      </c>
      <c r="U156" s="8" t="str">
        <f>IF(LEN(Table2[[#This Row],[!Name]]) &gt; 0, Table2[[#This Row],[!Name]], "rg:None")</f>
        <v>Permission</v>
      </c>
      <c r="V156" s="8"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56" s="8" t="str">
        <f>IF(LEN(Table2[[#This Row],[!FK]])&gt;0,Table2[[#This Row],[!FK]],"rg:None")</f>
        <v>rg:None</v>
      </c>
      <c r="X156" s="8" t="str">
        <f>IF(LEN(concatif2(A:A,Table2[[#This Row],[!Table]],G:G,"Y",D:D,",")) &gt; 0,"rg:[ { 'req' : '"&amp;concatif2(A:A,Table2[[#This Row],[!Table]],G:G,"Y",D:D,"' }, { 'req': '")&amp;"'} ]","rg:[]")</f>
        <v>rg:[ { 'req' : 'id' }, { 'req': 'code' }, { 'req': 'name' }, { 'req': 'description'} ]</v>
      </c>
      <c r="Y156" s="8" t="str">
        <f>IF(LEN(Table2[[#This Row],[!Unique]])&gt;0,IF(Table2[[#This Row],[!Type]] = "id", "rg:None","rg:True"),"rg:None")</f>
        <v>rg:None</v>
      </c>
    </row>
    <row r="157" spans="1:25" s="4" customFormat="1" x14ac:dyDescent="0.3">
      <c r="A157" s="5" t="s">
        <v>36</v>
      </c>
      <c r="B157" s="5" t="s">
        <v>6</v>
      </c>
      <c r="C157" s="5"/>
      <c r="D157" s="5" t="s">
        <v>6</v>
      </c>
      <c r="E157" s="68" t="s">
        <v>247</v>
      </c>
      <c r="F157" s="5" t="s">
        <v>5</v>
      </c>
      <c r="G157" s="4" t="s">
        <v>38</v>
      </c>
      <c r="H157" s="30" t="s">
        <v>38</v>
      </c>
      <c r="I157" s="5" t="str">
        <f t="shared" si="20"/>
        <v>Defs</v>
      </c>
      <c r="J157" s="8" t="str">
        <f>IF(Table2[[#This Row],[!Type]]=J$1, J$1,"rg:None")</f>
        <v>rg:None</v>
      </c>
      <c r="K157" s="8" t="str">
        <f>IF(Table2[[#This Row],[!Type]]=K$1, K$1,"rg:None")</f>
        <v>rg:None</v>
      </c>
      <c r="L157" s="8" t="str">
        <f>IF(Table2[[#This Row],[!Type]]=L$1, L$1,"rg:None")</f>
        <v>rg:None</v>
      </c>
      <c r="M157" s="8" t="str">
        <f>IF(Table2[[#This Row],[!Type]]=M$1, M$1,"rg:None")</f>
        <v>id</v>
      </c>
      <c r="N157" s="8" t="str">
        <f>IF(Table2[[#This Row],[!Type]]=N$1, N$1,"rg:None")</f>
        <v>rg:None</v>
      </c>
      <c r="O157" s="8"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rg:None</v>
      </c>
      <c r="T157" s="8" t="str">
        <f>IF(LEN(Table2[[#This Row],[!Length]]) &gt; 0, Table2[[#This Row],[!Length]], "rg:None")</f>
        <v>rg:None</v>
      </c>
      <c r="U157" s="8" t="str">
        <f>IF(LEN(Table2[[#This Row],[!Name]]) &gt; 0, Table2[[#This Row],[!Name]], "rg:None")</f>
        <v>id</v>
      </c>
      <c r="V157" s="8" t="str">
        <f>IF(LEN(Table2[[#This Row],[!Description]]) &gt; 0, Table2[[#This Row],[!Description]], "rg:None")</f>
        <v>A system-generated unique identifier for a Permission.</v>
      </c>
      <c r="W157" s="8" t="str">
        <f>IF(LEN(Table2[[#This Row],[!FK]])&gt;0,Table2[[#This Row],[!FK]],"rg:None")</f>
        <v>rg:None</v>
      </c>
      <c r="X157" s="8" t="str">
        <f>IF(LEN(concatif2(A:A,Table2[[#This Row],[!Table]],G:G,"Y",D:D,",")) &gt; 0,"rg:[ { 'req' : '"&amp;concatif2(A:A,Table2[[#This Row],[!Table]],G:G,"Y",D:D,"' }, { 'req': '")&amp;"'} ]","rg:[]")</f>
        <v>rg:[ { 'req' : 'id' }, { 'req': 'code' }, { 'req': 'name' }, { 'req': 'description'} ]</v>
      </c>
      <c r="Y157" s="8" t="str">
        <f>IF(LEN(Table2[[#This Row],[!Unique]])&gt;0,IF(Table2[[#This Row],[!Type]] = "id", "rg:None","rg:True"),"rg:None")</f>
        <v>rg:None</v>
      </c>
    </row>
    <row r="158" spans="1:25" s="4" customFormat="1" ht="28.8" customHeight="1" x14ac:dyDescent="0.3">
      <c r="A158" s="5" t="s">
        <v>36</v>
      </c>
      <c r="B158" s="5" t="s">
        <v>7</v>
      </c>
      <c r="C158" s="5">
        <v>100</v>
      </c>
      <c r="D158" s="5" t="s">
        <v>37</v>
      </c>
      <c r="E158" s="68" t="s">
        <v>95</v>
      </c>
      <c r="F158" s="5" t="s">
        <v>5</v>
      </c>
      <c r="G158" s="4" t="s">
        <v>38</v>
      </c>
      <c r="I158" s="5" t="str">
        <f t="shared" si="20"/>
        <v>Defs</v>
      </c>
      <c r="J158" s="8" t="str">
        <f>IF(Table2[[#This Row],[!Type]]=J$1, J$1,"rg:None")</f>
        <v>rg:None</v>
      </c>
      <c r="K158" s="8" t="str">
        <f>IF(Table2[[#This Row],[!Type]]=K$1, K$1,"rg:None")</f>
        <v>rg:None</v>
      </c>
      <c r="L158" s="8" t="str">
        <f>IF(Table2[[#This Row],[!Type]]=L$1, L$1,"rg:None")</f>
        <v>rg:None</v>
      </c>
      <c r="M158" s="8" t="str">
        <f>IF(Table2[[#This Row],[!Type]]=M$1, M$1,"rg:None")</f>
        <v>rg:None</v>
      </c>
      <c r="N158" s="8" t="str">
        <f>IF(Table2[[#This Row],[!Type]]=N$1, N$1,"rg:None")</f>
        <v>rg:None</v>
      </c>
      <c r="O158" s="8" t="str">
        <f>IF(Table2[[#This Row],[!Type]]=O$1, O$1,"rg:None")</f>
        <v>rg:None</v>
      </c>
      <c r="P158" s="5" t="str">
        <f>IF(Table2[[#This Row],[!Type]]=P$1, P$1,"rg:None")</f>
        <v>rg:None</v>
      </c>
      <c r="Q158" s="5" t="str">
        <f>IF(Table2[[#This Row],[!Type]]=Q$1, Q$1,"rg:None")</f>
        <v>rg:None</v>
      </c>
      <c r="R158" s="5" t="str">
        <f>IF(Table2[[#This Row],[!Type]]=R$1, R$1,"rg:None")</f>
        <v>string</v>
      </c>
      <c r="S158" s="5" t="str">
        <f>IF(Table2[[#This Row],[!Type]]=S$1, S$1,"rg:None")</f>
        <v>rg:None</v>
      </c>
      <c r="T158" s="8">
        <f>IF(LEN(Table2[[#This Row],[!Length]]) &gt; 0, Table2[[#This Row],[!Length]], "rg:None")</f>
        <v>100</v>
      </c>
      <c r="U158" s="8" t="str">
        <f>IF(LEN(Table2[[#This Row],[!Name]]) &gt; 0, Table2[[#This Row],[!Name]], "rg:None")</f>
        <v>code</v>
      </c>
      <c r="V158" s="8" t="str">
        <f>IF(LEN(Table2[[#This Row],[!Description]]) &gt; 0, Table2[[#This Row],[!Description]], "rg:None")</f>
        <v>The name of the permission referenced in the software of the application.</v>
      </c>
      <c r="W158" s="8" t="str">
        <f>IF(LEN(Table2[[#This Row],[!FK]])&gt;0,Table2[[#This Row],[!FK]],"rg:None")</f>
        <v>rg:None</v>
      </c>
      <c r="X158" s="8" t="str">
        <f>IF(LEN(concatif2(A:A,Table2[[#This Row],[!Table]],G:G,"Y",D:D,",")) &gt; 0,"rg:[ { 'req' : '"&amp;concatif2(A:A,Table2[[#This Row],[!Table]],G:G,"Y",D:D,"' }, { 'req': '")&amp;"'} ]","rg:[]")</f>
        <v>rg:[ { 'req' : 'id' }, { 'req': 'code' }, { 'req': 'name' }, { 'req': 'description'} ]</v>
      </c>
      <c r="Y158" s="8" t="str">
        <f>IF(LEN(Table2[[#This Row],[!Unique]])&gt;0,IF(Table2[[#This Row],[!Type]] = "id", "rg:None","rg:True"),"rg:None")</f>
        <v>rg:None</v>
      </c>
    </row>
    <row r="159" spans="1:25" s="4" customFormat="1" ht="43.2" customHeight="1" x14ac:dyDescent="0.3">
      <c r="A159" s="5" t="s">
        <v>36</v>
      </c>
      <c r="B159" s="5" t="s">
        <v>7</v>
      </c>
      <c r="C159" s="5">
        <v>100</v>
      </c>
      <c r="D159" s="5" t="s">
        <v>14</v>
      </c>
      <c r="E159" s="68" t="s">
        <v>96</v>
      </c>
      <c r="F159" s="5" t="s">
        <v>5</v>
      </c>
      <c r="G159" s="4" t="s">
        <v>38</v>
      </c>
      <c r="I159" s="5" t="str">
        <f t="shared" si="20"/>
        <v>Defs</v>
      </c>
      <c r="J159" s="8" t="str">
        <f>IF(Table2[[#This Row],[!Type]]=J$1, J$1,"rg:None")</f>
        <v>rg:None</v>
      </c>
      <c r="K159" s="8" t="str">
        <f>IF(Table2[[#This Row],[!Type]]=K$1, K$1,"rg:None")</f>
        <v>rg:None</v>
      </c>
      <c r="L159" s="8" t="str">
        <f>IF(Table2[[#This Row],[!Type]]=L$1, L$1,"rg:None")</f>
        <v>rg:None</v>
      </c>
      <c r="M159" s="8" t="str">
        <f>IF(Table2[[#This Row],[!Type]]=M$1, M$1,"rg:None")</f>
        <v>rg:None</v>
      </c>
      <c r="N159" s="8" t="str">
        <f>IF(Table2[[#This Row],[!Type]]=N$1, N$1,"rg:None")</f>
        <v>rg:None</v>
      </c>
      <c r="O159" s="8" t="str">
        <f>IF(Table2[[#This Row],[!Type]]=O$1, O$1,"rg:None")</f>
        <v>rg:None</v>
      </c>
      <c r="P159" s="5" t="str">
        <f>IF(Table2[[#This Row],[!Type]]=P$1, P$1,"rg:None")</f>
        <v>rg:None</v>
      </c>
      <c r="Q159" s="5" t="str">
        <f>IF(Table2[[#This Row],[!Type]]=Q$1, Q$1,"rg:None")</f>
        <v>rg:None</v>
      </c>
      <c r="R159" s="5" t="str">
        <f>IF(Table2[[#This Row],[!Type]]=R$1, R$1,"rg:None")</f>
        <v>string</v>
      </c>
      <c r="S159" s="5" t="str">
        <f>IF(Table2[[#This Row],[!Type]]=S$1, S$1,"rg:None")</f>
        <v>rg:None</v>
      </c>
      <c r="T159" s="8">
        <f>IF(LEN(Table2[[#This Row],[!Length]]) &gt; 0, Table2[[#This Row],[!Length]], "rg:None")</f>
        <v>100</v>
      </c>
      <c r="U159" s="8" t="str">
        <f>IF(LEN(Table2[[#This Row],[!Name]]) &gt; 0, Table2[[#This Row],[!Name]], "rg:None")</f>
        <v>name</v>
      </c>
      <c r="V159" s="8" t="str">
        <f>IF(LEN(Table2[[#This Row],[!Description]]) &gt; 0, Table2[[#This Row],[!Description]], "rg:None")</f>
        <v>The 'user friendly' name of the permission exposed to the user selecting the permissions to be included in a Role.</v>
      </c>
      <c r="W159" s="8" t="str">
        <f>IF(LEN(Table2[[#This Row],[!FK]])&gt;0,Table2[[#This Row],[!FK]],"rg:None")</f>
        <v>rg:None</v>
      </c>
      <c r="X159" s="8" t="str">
        <f>IF(LEN(concatif2(A:A,Table2[[#This Row],[!Table]],G:G,"Y",D:D,",")) &gt; 0,"rg:[ { 'req' : '"&amp;concatif2(A:A,Table2[[#This Row],[!Table]],G:G,"Y",D:D,"' }, { 'req': '")&amp;"'} ]","rg:[]")</f>
        <v>rg:[ { 'req' : 'id' }, { 'req': 'code' }, { 'req': 'name' }, { 'req': 'description'} ]</v>
      </c>
      <c r="Y159" s="8" t="str">
        <f>IF(LEN(Table2[[#This Row],[!Unique]])&gt;0,IF(Table2[[#This Row],[!Type]] = "id", "rg:None","rg:True"),"rg:None")</f>
        <v>rg:None</v>
      </c>
    </row>
    <row r="160" spans="1:25" s="4" customFormat="1" ht="43.2" customHeight="1" x14ac:dyDescent="0.3">
      <c r="A160" s="5" t="s">
        <v>36</v>
      </c>
      <c r="B160" s="5" t="s">
        <v>7</v>
      </c>
      <c r="C160" s="5">
        <v>1000</v>
      </c>
      <c r="D160" s="5" t="s">
        <v>13</v>
      </c>
      <c r="E160" s="68" t="s">
        <v>97</v>
      </c>
      <c r="F160" s="5" t="s">
        <v>5</v>
      </c>
      <c r="G160" s="4" t="s">
        <v>38</v>
      </c>
      <c r="I160" s="5" t="str">
        <f t="shared" si="20"/>
        <v>Defs</v>
      </c>
      <c r="J160" s="8" t="str">
        <f>IF(Table2[[#This Row],[!Type]]=J$1, J$1,"rg:None")</f>
        <v>rg:None</v>
      </c>
      <c r="K160" s="8" t="str">
        <f>IF(Table2[[#This Row],[!Type]]=K$1, K$1,"rg:None")</f>
        <v>rg:None</v>
      </c>
      <c r="L160" s="8" t="str">
        <f>IF(Table2[[#This Row],[!Type]]=L$1, L$1,"rg:None")</f>
        <v>rg:None</v>
      </c>
      <c r="M160" s="8" t="str">
        <f>IF(Table2[[#This Row],[!Type]]=M$1, M$1,"rg:None")</f>
        <v>rg:None</v>
      </c>
      <c r="N160" s="8" t="str">
        <f>IF(Table2[[#This Row],[!Type]]=N$1, N$1,"rg:None")</f>
        <v>rg:None</v>
      </c>
      <c r="O160" s="8"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8">
        <f>IF(LEN(Table2[[#This Row],[!Length]]) &gt; 0, Table2[[#This Row],[!Length]], "rg:None")</f>
        <v>1000</v>
      </c>
      <c r="U160" s="8" t="str">
        <f>IF(LEN(Table2[[#This Row],[!Name]]) &gt; 0, Table2[[#This Row],[!Name]], "rg:None")</f>
        <v>description</v>
      </c>
      <c r="V160" s="8" t="str">
        <f>IF(LEN(Table2[[#This Row],[!Description]]) &gt; 0, Table2[[#This Row],[!Description]], "rg:None")</f>
        <v>A description of the purpose of the permission and exposed to the user selecting the permissions to be included in a Role.</v>
      </c>
      <c r="W160" s="8" t="str">
        <f>IF(LEN(Table2[[#This Row],[!FK]])&gt;0,Table2[[#This Row],[!FK]],"rg:None")</f>
        <v>rg:None</v>
      </c>
      <c r="X160" s="8" t="str">
        <f>IF(LEN(concatif2(A:A,Table2[[#This Row],[!Table]],G:G,"Y",D:D,",")) &gt; 0,"rg:[ { 'req' : '"&amp;concatif2(A:A,Table2[[#This Row],[!Table]],G:G,"Y",D:D,"' }, { 'req': '")&amp;"'} ]","rg:[]")</f>
        <v>rg:[ { 'req' : 'id' }, { 'req': 'code' }, { 'req': 'name' }, { 'req': 'description'} ]</v>
      </c>
      <c r="Y160" s="8" t="str">
        <f>IF(LEN(Table2[[#This Row],[!Unique]])&gt;0,IF(Table2[[#This Row],[!Type]] = "id", "rg:None","rg:True"),"rg:None")</f>
        <v>rg:None</v>
      </c>
    </row>
    <row r="161" spans="1:25" s="4" customFormat="1" ht="16.05" customHeight="1" x14ac:dyDescent="0.3">
      <c r="A161" s="5" t="s">
        <v>35</v>
      </c>
      <c r="B161" s="5" t="s">
        <v>4</v>
      </c>
      <c r="C161" s="5"/>
      <c r="D161" s="5" t="s">
        <v>35</v>
      </c>
      <c r="E161" s="68" t="s">
        <v>93</v>
      </c>
      <c r="F161" s="5" t="s">
        <v>5</v>
      </c>
      <c r="I161" s="5" t="str">
        <f>IF(LEN(A161) &gt; 0,"Defs","-")</f>
        <v>Defs</v>
      </c>
      <c r="J161" s="8" t="str">
        <f>IF(Table2[[#This Row],[!Type]]=J$1, J$1,"rg:None")</f>
        <v>rg:None</v>
      </c>
      <c r="K161" s="8" t="str">
        <f>IF(Table2[[#This Row],[!Type]]=K$1, K$1,"rg:None")</f>
        <v>rg:None</v>
      </c>
      <c r="L161" s="8" t="str">
        <f>IF(Table2[[#This Row],[!Type]]=L$1, L$1,"rg:None")</f>
        <v>rg:None</v>
      </c>
      <c r="M161" s="8" t="str">
        <f>IF(Table2[[#This Row],[!Type]]=M$1, M$1,"rg:None")</f>
        <v>rg:None</v>
      </c>
      <c r="N161" s="8" t="str">
        <f>IF(Table2[[#This Row],[!Type]]=N$1, N$1,"rg:None")</f>
        <v>rg:None</v>
      </c>
      <c r="O161" s="8"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table</v>
      </c>
      <c r="T161" s="8" t="str">
        <f>IF(LEN(Table2[[#This Row],[!Length]]) &gt; 0, Table2[[#This Row],[!Length]], "rg:None")</f>
        <v>rg:None</v>
      </c>
      <c r="U161" s="8" t="str">
        <f>IF(LEN(Table2[[#This Row],[!Name]]) &gt; 0, Table2[[#This Row],[!Name]], "rg:None")</f>
        <v>RolePermission</v>
      </c>
      <c r="V161" s="8" t="str">
        <f>IF(LEN(Table2[[#This Row],[!Description]]) &gt; 0, Table2[[#This Row],[!Description]], "rg:None")</f>
        <v>The collection of permissions included in a role.</v>
      </c>
      <c r="W161" s="8" t="str">
        <f>IF(LEN(Table2[[#This Row],[!FK]])&gt;0,Table2[[#This Row],[!FK]],"rg:None")</f>
        <v>rg:None</v>
      </c>
      <c r="X161" s="8" t="str">
        <f>IF(LEN(concatif2(A:A,Table2[[#This Row],[!Table]],G:G,"Y",D:D,",")) &gt; 0,"rg:[ { 'req' : '"&amp;concatif2(A:A,Table2[[#This Row],[!Table]],G:G,"Y",D:D,"' }, { 'req': '")&amp;"'} ]","rg:[]")</f>
        <v>rg:[ { 'req' : 'id' }, { 'req': 'roleFK' }, { 'req': 'permissionFK'} ]</v>
      </c>
      <c r="Y161" s="8" t="str">
        <f>IF(LEN(Table2[[#This Row],[!Unique]])&gt;0,IF(Table2[[#This Row],[!Type]] = "id", "rg:None","rg:True"),"rg:None")</f>
        <v>rg:None</v>
      </c>
    </row>
    <row r="162" spans="1:25" s="4" customFormat="1" ht="28.8" x14ac:dyDescent="0.3">
      <c r="A162" s="5" t="s">
        <v>35</v>
      </c>
      <c r="B162" s="5" t="s">
        <v>6</v>
      </c>
      <c r="C162" s="5"/>
      <c r="D162" s="5" t="s">
        <v>6</v>
      </c>
      <c r="E162" s="68" t="s">
        <v>244</v>
      </c>
      <c r="F162" s="5" t="s">
        <v>5</v>
      </c>
      <c r="G162" s="4" t="s">
        <v>38</v>
      </c>
      <c r="H162" s="30" t="s">
        <v>38</v>
      </c>
      <c r="I162" s="5" t="str">
        <f>IF(LEN(A162) &gt; 0,"Defs","-")</f>
        <v>Defs</v>
      </c>
      <c r="J162" s="8" t="str">
        <f>IF(Table2[[#This Row],[!Type]]=J$1, J$1,"rg:None")</f>
        <v>rg:None</v>
      </c>
      <c r="K162" s="8" t="str">
        <f>IF(Table2[[#This Row],[!Type]]=K$1, K$1,"rg:None")</f>
        <v>rg:None</v>
      </c>
      <c r="L162" s="8" t="str">
        <f>IF(Table2[[#This Row],[!Type]]=L$1, L$1,"rg:None")</f>
        <v>rg:None</v>
      </c>
      <c r="M162" s="8" t="str">
        <f>IF(Table2[[#This Row],[!Type]]=M$1, M$1,"rg:None")</f>
        <v>id</v>
      </c>
      <c r="N162" s="8" t="str">
        <f>IF(Table2[[#This Row],[!Type]]=N$1, N$1,"rg:None")</f>
        <v>rg:None</v>
      </c>
      <c r="O162" s="8"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rg:None</v>
      </c>
      <c r="T162" s="8" t="str">
        <f>IF(LEN(Table2[[#This Row],[!Length]]) &gt; 0, Table2[[#This Row],[!Length]], "rg:None")</f>
        <v>rg:None</v>
      </c>
      <c r="U162" s="8" t="str">
        <f>IF(LEN(Table2[[#This Row],[!Name]]) &gt; 0, Table2[[#This Row],[!Name]], "rg:None")</f>
        <v>id</v>
      </c>
      <c r="V162" s="8" t="str">
        <f>IF(LEN(Table2[[#This Row],[!Description]]) &gt; 0, Table2[[#This Row],[!Description]], "rg:None")</f>
        <v>A system-generated unique identifier for a Role Permission.</v>
      </c>
      <c r="W162" s="8" t="str">
        <f>IF(LEN(Table2[[#This Row],[!FK]])&gt;0,Table2[[#This Row],[!FK]],"rg:None")</f>
        <v>rg:None</v>
      </c>
      <c r="X162" s="8" t="str">
        <f>IF(LEN(concatif2(A:A,Table2[[#This Row],[!Table]],G:G,"Y",D:D,",")) &gt; 0,"rg:[ { 'req' : '"&amp;concatif2(A:A,Table2[[#This Row],[!Table]],G:G,"Y",D:D,"' }, { 'req': '")&amp;"'} ]","rg:[]")</f>
        <v>rg:[ { 'req' : 'id' }, { 'req': 'roleFK' }, { 'req': 'permissionFK'} ]</v>
      </c>
      <c r="Y162" s="8" t="str">
        <f>IF(LEN(Table2[[#This Row],[!Unique]])&gt;0,IF(Table2[[#This Row],[!Type]] = "id", "rg:None","rg:True"),"rg:None")</f>
        <v>rg:None</v>
      </c>
    </row>
    <row r="163" spans="1:25" s="4" customFormat="1" ht="16.05" customHeight="1" x14ac:dyDescent="0.3">
      <c r="A163" s="5" t="s">
        <v>35</v>
      </c>
      <c r="B163" s="5" t="s">
        <v>8</v>
      </c>
      <c r="C163" s="5"/>
      <c r="D163" s="82" t="s">
        <v>330</v>
      </c>
      <c r="E163" s="68" t="s">
        <v>245</v>
      </c>
      <c r="F163" s="5" t="s">
        <v>34</v>
      </c>
      <c r="G163" s="70" t="s">
        <v>38</v>
      </c>
      <c r="I163" s="5" t="str">
        <f>IF(LEN(A163) &gt; 0,"Defs","-")</f>
        <v>Defs</v>
      </c>
      <c r="J163" s="8" t="str">
        <f>IF(Table2[[#This Row],[!Type]]=J$1, J$1,"rg:None")</f>
        <v>rg:None</v>
      </c>
      <c r="K163" s="8" t="str">
        <f>IF(Table2[[#This Row],[!Type]]=K$1, K$1,"rg:None")</f>
        <v>rg:None</v>
      </c>
      <c r="L163" s="8" t="str">
        <f>IF(Table2[[#This Row],[!Type]]=L$1, L$1,"rg:None")</f>
        <v>rg:None</v>
      </c>
      <c r="M163" s="8" t="str">
        <f>IF(Table2[[#This Row],[!Type]]=M$1, M$1,"rg:None")</f>
        <v>rg:None</v>
      </c>
      <c r="N163" s="8" t="str">
        <f>IF(Table2[[#This Row],[!Type]]=N$1, N$1,"rg:None")</f>
        <v>rg:None</v>
      </c>
      <c r="O163" s="8" t="str">
        <f>IF(Table2[[#This Row],[!Type]]=O$1, O$1,"rg:None")</f>
        <v>rg:None</v>
      </c>
      <c r="P163" s="5" t="str">
        <f>IF(Table2[[#This Row],[!Type]]=P$1, P$1,"rg:None")</f>
        <v>rg:None</v>
      </c>
      <c r="Q163" s="5" t="str">
        <f>IF(Table2[[#This Row],[!Type]]=Q$1, Q$1,"rg:None")</f>
        <v>ref</v>
      </c>
      <c r="R163" s="5" t="str">
        <f>IF(Table2[[#This Row],[!Type]]=R$1, R$1,"rg:None")</f>
        <v>rg:None</v>
      </c>
      <c r="S163" s="5" t="str">
        <f>IF(Table2[[#This Row],[!Type]]=S$1, S$1,"rg:None")</f>
        <v>rg:None</v>
      </c>
      <c r="T163" s="8" t="str">
        <f>IF(LEN(Table2[[#This Row],[!Length]]) &gt; 0, Table2[[#This Row],[!Length]], "rg:None")</f>
        <v>rg:None</v>
      </c>
      <c r="U163" s="8" t="str">
        <f>IF(LEN(Table2[[#This Row],[!Name]]) &gt; 0, Table2[[#This Row],[!Name]], "rg:None")</f>
        <v>roleFK</v>
      </c>
      <c r="V163" s="8" t="str">
        <f>IF(LEN(Table2[[#This Row],[!Description]]) &gt; 0, Table2[[#This Row],[!Description]], "rg:None")</f>
        <v>A foreign key reference to a Role.</v>
      </c>
      <c r="W163" s="8" t="str">
        <f>IF(LEN(Table2[[#This Row],[!FK]])&gt;0,Table2[[#This Row],[!FK]],"rg:None")</f>
        <v>Role</v>
      </c>
      <c r="X163" s="8" t="str">
        <f>IF(LEN(concatif2(A:A,Table2[[#This Row],[!Table]],G:G,"Y",D:D,",")) &gt; 0,"rg:[ { 'req' : '"&amp;concatif2(A:A,Table2[[#This Row],[!Table]],G:G,"Y",D:D,"' }, { 'req': '")&amp;"'} ]","rg:[]")</f>
        <v>rg:[ { 'req' : 'id' }, { 'req': 'roleFK' }, { 'req': 'permissionFK'} ]</v>
      </c>
      <c r="Y163" s="8" t="str">
        <f>IF(LEN(Table2[[#This Row],[!Unique]])&gt;0,IF(Table2[[#This Row],[!Type]] = "id", "rg:None","rg:True"),"rg:None")</f>
        <v>rg:None</v>
      </c>
    </row>
    <row r="164" spans="1:25" s="4" customFormat="1" ht="16.05" customHeight="1" x14ac:dyDescent="0.3">
      <c r="A164" s="5" t="s">
        <v>35</v>
      </c>
      <c r="B164" s="5" t="s">
        <v>8</v>
      </c>
      <c r="C164" s="5"/>
      <c r="D164" s="82" t="s">
        <v>333</v>
      </c>
      <c r="E164" s="68" t="s">
        <v>246</v>
      </c>
      <c r="F164" s="5" t="s">
        <v>36</v>
      </c>
      <c r="G164" s="70" t="s">
        <v>38</v>
      </c>
      <c r="I164" s="5" t="str">
        <f>IF(LEN(A164) &gt; 0,"Defs","-")</f>
        <v>Defs</v>
      </c>
      <c r="J164" s="8" t="str">
        <f>IF(Table2[[#This Row],[!Type]]=J$1, J$1,"rg:None")</f>
        <v>rg:None</v>
      </c>
      <c r="K164" s="8" t="str">
        <f>IF(Table2[[#This Row],[!Type]]=K$1, K$1,"rg:None")</f>
        <v>rg:None</v>
      </c>
      <c r="L164" s="8" t="str">
        <f>IF(Table2[[#This Row],[!Type]]=L$1, L$1,"rg:None")</f>
        <v>rg:None</v>
      </c>
      <c r="M164" s="8" t="str">
        <f>IF(Table2[[#This Row],[!Type]]=M$1, M$1,"rg:None")</f>
        <v>rg:None</v>
      </c>
      <c r="N164" s="8" t="str">
        <f>IF(Table2[[#This Row],[!Type]]=N$1, N$1,"rg:None")</f>
        <v>rg:None</v>
      </c>
      <c r="O164" s="8" t="str">
        <f>IF(Table2[[#This Row],[!Type]]=O$1, O$1,"rg:None")</f>
        <v>rg:None</v>
      </c>
      <c r="P164" s="5" t="str">
        <f>IF(Table2[[#This Row],[!Type]]=P$1, P$1,"rg:None")</f>
        <v>rg:None</v>
      </c>
      <c r="Q164" s="5" t="str">
        <f>IF(Table2[[#This Row],[!Type]]=Q$1, Q$1,"rg:None")</f>
        <v>ref</v>
      </c>
      <c r="R164" s="5" t="str">
        <f>IF(Table2[[#This Row],[!Type]]=R$1, R$1,"rg:None")</f>
        <v>rg:None</v>
      </c>
      <c r="S164" s="5" t="str">
        <f>IF(Table2[[#This Row],[!Type]]=S$1, S$1,"rg:None")</f>
        <v>rg:None</v>
      </c>
      <c r="T164" s="8" t="str">
        <f>IF(LEN(Table2[[#This Row],[!Length]]) &gt; 0, Table2[[#This Row],[!Length]], "rg:None")</f>
        <v>rg:None</v>
      </c>
      <c r="U164" s="8" t="str">
        <f>IF(LEN(Table2[[#This Row],[!Name]]) &gt; 0, Table2[[#This Row],[!Name]], "rg:None")</f>
        <v>permissionFK</v>
      </c>
      <c r="V164" s="8" t="str">
        <f>IF(LEN(Table2[[#This Row],[!Description]]) &gt; 0, Table2[[#This Row],[!Description]], "rg:None")</f>
        <v>A foreign key reference to a Permission.</v>
      </c>
      <c r="W164" s="8" t="str">
        <f>IF(LEN(Table2[[#This Row],[!FK]])&gt;0,Table2[[#This Row],[!FK]],"rg:None")</f>
        <v>Permission</v>
      </c>
      <c r="X164" s="8" t="str">
        <f>IF(LEN(concatif2(A:A,Table2[[#This Row],[!Table]],G:G,"Y",D:D,",")) &gt; 0,"rg:[ { 'req' : '"&amp;concatif2(A:A,Table2[[#This Row],[!Table]],G:G,"Y",D:D,"' }, { 'req': '")&amp;"'} ]","rg:[]")</f>
        <v>rg:[ { 'req' : 'id' }, { 'req': 'roleFK' }, { 'req': 'permissionFK'} ]</v>
      </c>
      <c r="Y164" s="8" t="str">
        <f>IF(LEN(Table2[[#This Row],[!Unique]])&gt;0,IF(Table2[[#This Row],[!Type]] = "id", "rg:None","rg:True"),"rg:None")</f>
        <v>rg:None</v>
      </c>
    </row>
    <row r="165" spans="1:25" ht="16.05" customHeight="1" x14ac:dyDescent="0.3">
      <c r="A165" s="25" t="s">
        <v>108</v>
      </c>
      <c r="B165" s="25" t="s">
        <v>4</v>
      </c>
      <c r="D165" s="25" t="s">
        <v>108</v>
      </c>
      <c r="E165" s="68" t="s">
        <v>248</v>
      </c>
      <c r="F165" s="6"/>
      <c r="G165" s="14"/>
      <c r="H165" s="14"/>
      <c r="I165" s="4" t="str">
        <f t="shared" ref="I165:I180" si="22">IF(LEN(A165) &gt; 0,"Defs","-")</f>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table</v>
      </c>
      <c r="T165" s="4" t="str">
        <f>IF(LEN(Table2[[#This Row],[!Length]]) &gt; 0, Table2[[#This Row],[!Length]], "rg:None")</f>
        <v>rg:None</v>
      </c>
      <c r="U165" s="4" t="str">
        <f>IF(LEN(Table2[[#This Row],[!Name]]) &gt; 0, Table2[[#This Row],[!Name]], "rg:None")</f>
        <v>Audit</v>
      </c>
      <c r="V165" s="4" t="str">
        <f>IF(LEN(Table2[[#This Row],[!Description]]) &gt; 0, Table2[[#This Row],[!Description]], "rg:None")</f>
        <v>Server generated audit log.</v>
      </c>
      <c r="W165" s="13" t="str">
        <f>IF(LEN(Table2[[#This Row],[!FK]])&gt;0,Table2[[#This Row],[!FK]],"rg:None")</f>
        <v>rg:None</v>
      </c>
      <c r="X165" s="4" t="str">
        <f>IF(LEN(concatif2(A:A,Table2[[#This Row],[!Table]],G:G,"Y",D:D,",")) &gt; 0,"rg:[ { 'req' : '"&amp;concatif2(A:A,Table2[[#This Row],[!Table]],G:G,"Y",D:D,"' }, { 'req': '")&amp;"'} ]","rg:[]")</f>
        <v>rg:[ { 'req' : 'id'} ]</v>
      </c>
      <c r="Y165" s="13" t="str">
        <f>IF(LEN(Table2[[#This Row],[!Unique]])&gt;0,IF(Table2[[#This Row],[!Type]] = "id", "rg:None","rg:True"),"rg:None")</f>
        <v>rg:None</v>
      </c>
    </row>
    <row r="166" spans="1:25" x14ac:dyDescent="0.3">
      <c r="A166" s="25" t="s">
        <v>108</v>
      </c>
      <c r="B166" s="25" t="s">
        <v>6</v>
      </c>
      <c r="D166" s="25" t="s">
        <v>6</v>
      </c>
      <c r="E166" s="68" t="s">
        <v>249</v>
      </c>
      <c r="F166" s="6"/>
      <c r="G166" s="26" t="s">
        <v>38</v>
      </c>
      <c r="H166" s="31" t="s">
        <v>38</v>
      </c>
      <c r="I166" s="4" t="str">
        <f t="shared" si="22"/>
        <v>Defs</v>
      </c>
      <c r="J166" s="4" t="str">
        <f>IF(Table2[[#This Row],[!Type]]=J$1, J$1,"rg:None")</f>
        <v>rg:None</v>
      </c>
      <c r="K166" s="4" t="str">
        <f>IF(Table2[[#This Row],[!Type]]=K$1, K$1,"rg:None")</f>
        <v>rg:None</v>
      </c>
      <c r="L166" s="4" t="str">
        <f>IF(Table2[[#This Row],[!Type]]=L$1, L$1,"rg:None")</f>
        <v>rg:None</v>
      </c>
      <c r="M166" s="4" t="str">
        <f>IF(Table2[[#This Row],[!Type]]=M$1, M$1,"rg:None")</f>
        <v>id</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id</v>
      </c>
      <c r="V166" s="4" t="str">
        <f>IF(LEN(Table2[[#This Row],[!Description]]) &gt; 0, Table2[[#This Row],[!Description]], "rg:None")</f>
        <v>A system-generated unique identifier for an Audit.</v>
      </c>
      <c r="W166" s="13" t="str">
        <f>IF(LEN(Table2[[#This Row],[!FK]])&gt;0,Table2[[#This Row],[!FK]],"rg:None")</f>
        <v>rg:None</v>
      </c>
      <c r="X166" s="4" t="str">
        <f>IF(LEN(concatif2(A:A,Table2[[#This Row],[!Table]],G:G,"Y",D:D,",")) &gt; 0,"rg:[ { 'req' : '"&amp;concatif2(A:A,Table2[[#This Row],[!Table]],G:G,"Y",D:D,"' }, { 'req': '")&amp;"'} ]","rg:[]")</f>
        <v>rg:[ { 'req' : 'id'} ]</v>
      </c>
      <c r="Y166" s="13" t="str">
        <f>IF(LEN(Table2[[#This Row],[!Unique]])&gt;0,IF(Table2[[#This Row],[!Type]] = "id", "rg:None","rg:True"),"rg:None")</f>
        <v>rg:None</v>
      </c>
    </row>
    <row r="167" spans="1:25" ht="28.8" customHeight="1" x14ac:dyDescent="0.3">
      <c r="A167" s="25" t="s">
        <v>108</v>
      </c>
      <c r="B167" s="25" t="s">
        <v>11</v>
      </c>
      <c r="D167" s="25" t="s">
        <v>112</v>
      </c>
      <c r="E167" s="68" t="s">
        <v>250</v>
      </c>
      <c r="F167" s="6"/>
      <c r="G167" s="14"/>
      <c r="H167" s="14"/>
      <c r="I167" s="4" t="str">
        <f t="shared" si="22"/>
        <v>Defs</v>
      </c>
      <c r="J167" s="4" t="str">
        <f>IF(Table2[[#This Row],[!Type]]=J$1, J$1,"rg:None")</f>
        <v>rg:None</v>
      </c>
      <c r="K167" s="4" t="str">
        <f>IF(Table2[[#This Row],[!Type]]=K$1, K$1,"rg:None")</f>
        <v>rg:None</v>
      </c>
      <c r="L167" s="4" t="str">
        <f>IF(Table2[[#This Row],[!Type]]=L$1, L$1,"rg:None")</f>
        <v>datetime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appCreateTimestamp</v>
      </c>
      <c r="V167" s="4" t="str">
        <f>IF(LEN(Table2[[#This Row],[!Description]]) &gt; 0, Table2[[#This Row],[!Description]], "rg:None")</f>
        <v>The date and time of the application action that created the record. .</v>
      </c>
      <c r="W167" s="13" t="str">
        <f>IF(LEN(Table2[[#This Row],[!FK]])&gt;0,Table2[[#This Row],[!FK]],"rg:None")</f>
        <v>rg:None</v>
      </c>
      <c r="X167" s="4" t="str">
        <f>IF(LEN(concatif2(A:A,Table2[[#This Row],[!Table]],G:G,"Y",D:D,",")) &gt; 0,"rg:[ { 'req' : '"&amp;concatif2(A:A,Table2[[#This Row],[!Table]],G:G,"Y",D:D,"' }, { 'req': '")&amp;"'} ]","rg:[]")</f>
        <v>rg:[ { 'req' : 'id'} ]</v>
      </c>
      <c r="Y167" s="13" t="str">
        <f>IF(LEN(Table2[[#This Row],[!Unique]])&gt;0,IF(Table2[[#This Row],[!Type]] = "id", "rg:None","rg:True"),"rg:None")</f>
        <v>rg:None</v>
      </c>
    </row>
    <row r="168" spans="1:25" ht="57.6" customHeight="1" x14ac:dyDescent="0.3">
      <c r="A168" s="25" t="s">
        <v>108</v>
      </c>
      <c r="B168" s="25" t="s">
        <v>7</v>
      </c>
      <c r="C168" s="5">
        <v>100</v>
      </c>
      <c r="D168" s="25" t="s">
        <v>119</v>
      </c>
      <c r="E168" s="68" t="s">
        <v>251</v>
      </c>
      <c r="F168" s="6"/>
      <c r="G168" s="14"/>
      <c r="H168" s="14"/>
      <c r="I168" s="4" t="str">
        <f t="shared" si="22"/>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string</v>
      </c>
      <c r="S168" s="4" t="str">
        <f>IF(Table2[[#This Row],[!Type]]=S$1, S$1,"rg:None")</f>
        <v>rg:None</v>
      </c>
      <c r="T168" s="4">
        <f>IF(LEN(Table2[[#This Row],[!Length]]) &gt; 0, Table2[[#This Row],[!Length]], "rg:None")</f>
        <v>100</v>
      </c>
      <c r="U168" s="4" t="str">
        <f>IF(LEN(Table2[[#This Row],[!Name]]) &gt; 0, Table2[[#This Row],[!Name]], "rg:None")</f>
        <v>appCreateUserid</v>
      </c>
      <c r="V168" s="4" t="str">
        <f>IF(LEN(Table2[[#This Row],[!Description]]) &gt; 0, Table2[[#This Row],[!Description]], "rg:None")</f>
        <v>The user account name of the application user who performed the action that created the record (e.g. JSMITH). This value is not preceded by the directory name. .</v>
      </c>
      <c r="W168" s="13" t="str">
        <f>IF(LEN(Table2[[#This Row],[!FK]])&gt;0,Table2[[#This Row],[!FK]],"rg:None")</f>
        <v>rg:None</v>
      </c>
      <c r="X168" s="4" t="str">
        <f>IF(LEN(concatif2(A:A,Table2[[#This Row],[!Table]],G:G,"Y",D:D,",")) &gt; 0,"rg:[ { 'req' : '"&amp;concatif2(A:A,Table2[[#This Row],[!Table]],G:G,"Y",D:D,"' }, { 'req': '")&amp;"'} ]","rg:[]")</f>
        <v>rg:[ { 'req' : 'id'} ]</v>
      </c>
      <c r="Y168" s="13" t="str">
        <f>IF(LEN(Table2[[#This Row],[!Unique]])&gt;0,IF(Table2[[#This Row],[!Type]] = "id", "rg:None","rg:True"),"rg:None")</f>
        <v>rg:None</v>
      </c>
    </row>
    <row r="169" spans="1:25" ht="86.4" customHeight="1" x14ac:dyDescent="0.3">
      <c r="A169" s="25" t="s">
        <v>108</v>
      </c>
      <c r="B169" s="25" t="s">
        <v>7</v>
      </c>
      <c r="C169" s="5">
        <v>100</v>
      </c>
      <c r="D169" s="25" t="s">
        <v>113</v>
      </c>
      <c r="E169" s="68" t="s">
        <v>252</v>
      </c>
      <c r="F169" s="6"/>
      <c r="G169" s="14"/>
      <c r="H169" s="14"/>
      <c r="I169" s="4" t="str">
        <f t="shared" si="22"/>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4">
        <f>IF(LEN(Table2[[#This Row],[!Length]]) &gt; 0, Table2[[#This Row],[!Length]], "rg:None")</f>
        <v>100</v>
      </c>
      <c r="U169" s="4" t="str">
        <f>IF(LEN(Table2[[#This Row],[!Name]]) &gt; 0, Table2[[#This Row],[!Name]], "rg:None")</f>
        <v>appCreateUserGuid</v>
      </c>
      <c r="V169"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69" s="13" t="str">
        <f>IF(LEN(Table2[[#This Row],[!FK]])&gt;0,Table2[[#This Row],[!FK]],"rg:None")</f>
        <v>rg:None</v>
      </c>
      <c r="X169" s="4" t="str">
        <f>IF(LEN(concatif2(A:A,Table2[[#This Row],[!Table]],G:G,"Y",D:D,",")) &gt; 0,"rg:[ { 'req' : '"&amp;concatif2(A:A,Table2[[#This Row],[!Table]],G:G,"Y",D:D,"' }, { 'req': '")&amp;"'} ]","rg:[]")</f>
        <v>rg:[ { 'req' : 'id'} ]</v>
      </c>
      <c r="Y169" s="13" t="str">
        <f>IF(LEN(Table2[[#This Row],[!Unique]])&gt;0,IF(Table2[[#This Row],[!Type]] = "id", "rg:None","rg:True"),"rg:None")</f>
        <v>rg:None</v>
      </c>
    </row>
    <row r="170" spans="1:25" ht="28.8" customHeight="1" x14ac:dyDescent="0.3">
      <c r="A170" s="25" t="s">
        <v>108</v>
      </c>
      <c r="B170" s="25" t="s">
        <v>7</v>
      </c>
      <c r="C170" s="5">
        <v>100</v>
      </c>
      <c r="D170" s="25" t="s">
        <v>114</v>
      </c>
      <c r="E170" s="68" t="s">
        <v>253</v>
      </c>
      <c r="F170" s="6"/>
      <c r="G170" s="14"/>
      <c r="H170" s="14"/>
      <c r="I170" s="4" t="str">
        <f t="shared" si="22"/>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4">
        <f>IF(LEN(Table2[[#This Row],[!Length]]) &gt; 0, Table2[[#This Row],[!Length]], "rg:None")</f>
        <v>100</v>
      </c>
      <c r="U170" s="4" t="str">
        <f>IF(LEN(Table2[[#This Row],[!Name]]) &gt; 0, Table2[[#This Row],[!Name]], "rg:None")</f>
        <v>appCreateUserDirectory</v>
      </c>
      <c r="V170" s="4" t="str">
        <f>IF(LEN(Table2[[#This Row],[!Description]]) &gt; 0, Table2[[#This Row],[!Description]], "rg:None")</f>
        <v>The directory in which APP_CREATE_USERID is defined. Valid values are 'IDIR', ' BCEID' or 'ORACLE'. .</v>
      </c>
      <c r="W170" s="13" t="str">
        <f>IF(LEN(Table2[[#This Row],[!FK]])&gt;0,Table2[[#This Row],[!FK]],"rg:None")</f>
        <v>rg:None</v>
      </c>
      <c r="X170" s="4" t="str">
        <f>IF(LEN(concatif2(A:A,Table2[[#This Row],[!Table]],G:G,"Y",D:D,",")) &gt; 0,"rg:[ { 'req' : '"&amp;concatif2(A:A,Table2[[#This Row],[!Table]],G:G,"Y",D:D,"' }, { 'req': '")&amp;"'} ]","rg:[]")</f>
        <v>rg:[ { 'req' : 'id'} ]</v>
      </c>
      <c r="Y170" s="13" t="str">
        <f>IF(LEN(Table2[[#This Row],[!Unique]])&gt;0,IF(Table2[[#This Row],[!Type]] = "id", "rg:None","rg:True"),"rg:None")</f>
        <v>rg:None</v>
      </c>
    </row>
    <row r="171" spans="1:25" ht="28.8" customHeight="1" x14ac:dyDescent="0.3">
      <c r="A171" s="25" t="s">
        <v>108</v>
      </c>
      <c r="B171" s="25" t="s">
        <v>11</v>
      </c>
      <c r="D171" s="25" t="s">
        <v>115</v>
      </c>
      <c r="E171" s="68" t="s">
        <v>116</v>
      </c>
      <c r="F171" s="6"/>
      <c r="G171" s="14"/>
      <c r="H171" s="14"/>
      <c r="I171" s="4" t="str">
        <f t="shared" si="22"/>
        <v>Defs</v>
      </c>
      <c r="J171" s="4" t="str">
        <f>IF(Table2[[#This Row],[!Type]]=J$1, J$1,"rg:None")</f>
        <v>rg:None</v>
      </c>
      <c r="K171" s="4" t="str">
        <f>IF(Table2[[#This Row],[!Type]]=K$1, K$1,"rg:None")</f>
        <v>rg:None</v>
      </c>
      <c r="L171" s="4" t="str">
        <f>IF(Table2[[#This Row],[!Type]]=L$1, L$1,"rg:None")</f>
        <v>datetime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appLastUpdateTimestamp</v>
      </c>
      <c r="V171" s="4" t="str">
        <f>IF(LEN(Table2[[#This Row],[!Description]]) &gt; 0, Table2[[#This Row],[!Description]], "rg:None")</f>
        <v>The date and time of the application action that created or last updated the record.</v>
      </c>
      <c r="W171" s="13" t="str">
        <f>IF(LEN(Table2[[#This Row],[!FK]])&gt;0,Table2[[#This Row],[!FK]],"rg:None")</f>
        <v>rg:None</v>
      </c>
      <c r="X171" s="4" t="str">
        <f>IF(LEN(concatif2(A:A,Table2[[#This Row],[!Table]],G:G,"Y",D:D,",")) &gt; 0,"rg:[ { 'req' : '"&amp;concatif2(A:A,Table2[[#This Row],[!Table]],G:G,"Y",D:D,"' }, { 'req': '")&amp;"'} ]","rg:[]")</f>
        <v>rg:[ { 'req' : 'id'} ]</v>
      </c>
      <c r="Y171" s="13" t="str">
        <f>IF(LEN(Table2[[#This Row],[!Unique]])&gt;0,IF(Table2[[#This Row],[!Type]] = "id", "rg:None","rg:True"),"rg:None")</f>
        <v>rg:None</v>
      </c>
    </row>
    <row r="172" spans="1:25" ht="86.4" customHeight="1" x14ac:dyDescent="0.3">
      <c r="A172" s="25" t="s">
        <v>108</v>
      </c>
      <c r="B172" s="25" t="s">
        <v>7</v>
      </c>
      <c r="C172" s="5">
        <v>100</v>
      </c>
      <c r="D172" s="25" t="s">
        <v>118</v>
      </c>
      <c r="E172" s="68" t="s">
        <v>252</v>
      </c>
      <c r="F172" s="6"/>
      <c r="G172" s="14"/>
      <c r="H172" s="14"/>
      <c r="I172" s="4" t="str">
        <f t="shared" si="22"/>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string</v>
      </c>
      <c r="S172" s="4" t="str">
        <f>IF(Table2[[#This Row],[!Type]]=S$1, S$1,"rg:None")</f>
        <v>rg:None</v>
      </c>
      <c r="T172" s="4">
        <f>IF(LEN(Table2[[#This Row],[!Length]]) &gt; 0, Table2[[#This Row],[!Length]], "rg:None")</f>
        <v>100</v>
      </c>
      <c r="U172" s="4" t="str">
        <f>IF(LEN(Table2[[#This Row],[!Name]]) &gt; 0, Table2[[#This Row],[!Name]], "rg:None")</f>
        <v>appLastUpdateUserid</v>
      </c>
      <c r="V172"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72" s="13" t="str">
        <f>IF(LEN(Table2[[#This Row],[!FK]])&gt;0,Table2[[#This Row],[!FK]],"rg:None")</f>
        <v>rg:None</v>
      </c>
      <c r="X172" s="4" t="str">
        <f>IF(LEN(concatif2(A:A,Table2[[#This Row],[!Table]],G:G,"Y",D:D,",")) &gt; 0,"rg:[ { 'req' : '"&amp;concatif2(A:A,Table2[[#This Row],[!Table]],G:G,"Y",D:D,"' }, { 'req': '")&amp;"'} ]","rg:[]")</f>
        <v>rg:[ { 'req' : 'id'} ]</v>
      </c>
      <c r="Y172" s="13" t="str">
        <f>IF(LEN(Table2[[#This Row],[!Unique]])&gt;0,IF(Table2[[#This Row],[!Type]] = "id", "rg:None","rg:True"),"rg:None")</f>
        <v>rg:None</v>
      </c>
    </row>
    <row r="173" spans="1:25" ht="86.4" customHeight="1" x14ac:dyDescent="0.3">
      <c r="A173" s="25" t="s">
        <v>108</v>
      </c>
      <c r="B173" s="25" t="s">
        <v>7</v>
      </c>
      <c r="C173" s="5">
        <v>100</v>
      </c>
      <c r="D173" s="25" t="s">
        <v>117</v>
      </c>
      <c r="E173" s="68" t="s">
        <v>254</v>
      </c>
      <c r="F173" s="6"/>
      <c r="G173" s="14"/>
      <c r="H173" s="14"/>
      <c r="I173" s="4" t="str">
        <f t="shared" si="22"/>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string</v>
      </c>
      <c r="S173" s="4" t="str">
        <f>IF(Table2[[#This Row],[!Type]]=S$1, S$1,"rg:None")</f>
        <v>rg:None</v>
      </c>
      <c r="T173" s="4">
        <f>IF(LEN(Table2[[#This Row],[!Length]]) &gt; 0, Table2[[#This Row],[!Length]], "rg:None")</f>
        <v>100</v>
      </c>
      <c r="U173" s="4" t="str">
        <f>IF(LEN(Table2[[#This Row],[!Name]]) &gt; 0, Table2[[#This Row],[!Name]], "rg:None")</f>
        <v>appLastUpdateUserGuid</v>
      </c>
      <c r="V173" s="4" t="str">
        <f>IF(LEN(Table2[[#This Row],[!Description]]) &gt; 0, Table2[[#This Row],[!Description]], "rg:None")</f>
        <v>The Globally Unique Identifier of the application user who performed the action that created or last updated the record. This value must be non-NULL if APP_CREATE_USER_DIRECTORY is 'IDIR' or 'BCEID', but it must be NULL if APP_CREATE_USER_DIRECTORY is 'ORACLE'. .</v>
      </c>
      <c r="W173" s="13" t="str">
        <f>IF(LEN(Table2[[#This Row],[!FK]])&gt;0,Table2[[#This Row],[!FK]],"rg:None")</f>
        <v>rg:None</v>
      </c>
      <c r="X173" s="4" t="str">
        <f>IF(LEN(concatif2(A:A,Table2[[#This Row],[!Table]],G:G,"Y",D:D,",")) &gt; 0,"rg:[ { 'req' : '"&amp;concatif2(A:A,Table2[[#This Row],[!Table]],G:G,"Y",D:D,"' }, { 'req': '")&amp;"'} ]","rg:[]")</f>
        <v>rg:[ { 'req' : 'id'} ]</v>
      </c>
      <c r="Y173" s="13" t="str">
        <f>IF(LEN(Table2[[#This Row],[!Unique]])&gt;0,IF(Table2[[#This Row],[!Type]] = "id", "rg:None","rg:True"),"rg:None")</f>
        <v>rg:None</v>
      </c>
    </row>
    <row r="174" spans="1:25" ht="28.8" customHeight="1" x14ac:dyDescent="0.3">
      <c r="A174" s="25" t="s">
        <v>108</v>
      </c>
      <c r="B174" s="25" t="s">
        <v>7</v>
      </c>
      <c r="C174" s="5">
        <v>100</v>
      </c>
      <c r="D174" s="25" t="s">
        <v>120</v>
      </c>
      <c r="E174" s="68" t="s">
        <v>255</v>
      </c>
      <c r="F174" s="6"/>
      <c r="G174" s="14"/>
      <c r="H174" s="14"/>
      <c r="I174" s="4" t="str">
        <f t="shared" si="22"/>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4">
        <f>IF(LEN(Table2[[#This Row],[!Length]]) &gt; 0, Table2[[#This Row],[!Length]], "rg:None")</f>
        <v>100</v>
      </c>
      <c r="U174" s="4" t="str">
        <f>IF(LEN(Table2[[#This Row],[!Name]]) &gt; 0, Table2[[#This Row],[!Name]], "rg:None")</f>
        <v>appLastUpdateUserDirectory</v>
      </c>
      <c r="V174" s="4" t="str">
        <f>IF(LEN(Table2[[#This Row],[!Description]]) &gt; 0, Table2[[#This Row],[!Description]], "rg:None")</f>
        <v>The directory in which APP_LAST_UPDATE_USERID is defined. Valid values are 'IDIR', ' BCEID' or 'ORACLE'. .</v>
      </c>
      <c r="W174" s="13" t="str">
        <f>IF(LEN(Table2[[#This Row],[!FK]])&gt;0,Table2[[#This Row],[!FK]],"rg:None")</f>
        <v>rg:None</v>
      </c>
      <c r="X174" s="4" t="str">
        <f>IF(LEN(concatif2(A:A,Table2[[#This Row],[!Table]],G:G,"Y",D:D,",")) &gt; 0,"rg:[ { 'req' : '"&amp;concatif2(A:A,Table2[[#This Row],[!Table]],G:G,"Y",D:D,"' }, { 'req': '")&amp;"'} ]","rg:[]")</f>
        <v>rg:[ { 'req' : 'id'} ]</v>
      </c>
      <c r="Y174" s="13" t="str">
        <f>IF(LEN(Table2[[#This Row],[!Unique]])&gt;0,IF(Table2[[#This Row],[!Type]] = "id", "rg:None","rg:True"),"rg:None")</f>
        <v>rg:None</v>
      </c>
    </row>
    <row r="175" spans="1:25" ht="16.05" customHeight="1" x14ac:dyDescent="0.3">
      <c r="A175" s="25" t="s">
        <v>108</v>
      </c>
      <c r="B175" s="25" t="s">
        <v>7</v>
      </c>
      <c r="C175" s="5">
        <v>100</v>
      </c>
      <c r="D175" s="25" t="s">
        <v>121</v>
      </c>
      <c r="E175" s="68" t="s">
        <v>256</v>
      </c>
      <c r="F175" s="6"/>
      <c r="G175" s="14"/>
      <c r="H175" s="14"/>
      <c r="I175" s="4" t="str">
        <f t="shared" si="22"/>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100</v>
      </c>
      <c r="U175" s="4" t="str">
        <f>IF(LEN(Table2[[#This Row],[!Name]]) &gt; 0, Table2[[#This Row],[!Name]], "rg:None")</f>
        <v>entityName</v>
      </c>
      <c r="V175" s="4" t="str">
        <f>IF(LEN(Table2[[#This Row],[!Description]]) &gt; 0, Table2[[#This Row],[!Description]], "rg:None")</f>
        <v>The name of the entity that has changed.</v>
      </c>
      <c r="W175" s="13" t="str">
        <f>IF(LEN(Table2[[#This Row],[!FK]])&gt;0,Table2[[#This Row],[!FK]],"rg:None")</f>
        <v>rg:None</v>
      </c>
      <c r="X175" s="4" t="str">
        <f>IF(LEN(concatif2(A:A,Table2[[#This Row],[!Table]],G:G,"Y",D:D,",")) &gt; 0,"rg:[ { 'req' : '"&amp;concatif2(A:A,Table2[[#This Row],[!Table]],G:G,"Y",D:D,"' }, { 'req': '")&amp;"'} ]","rg:[]")</f>
        <v>rg:[ { 'req' : 'id'} ]</v>
      </c>
      <c r="Y175" s="13" t="str">
        <f>IF(LEN(Table2[[#This Row],[!Unique]])&gt;0,IF(Table2[[#This Row],[!Type]] = "id", "rg:None","rg:True"),"rg:None")</f>
        <v>rg:None</v>
      </c>
    </row>
    <row r="176" spans="1:25" ht="16.05" customHeight="1" x14ac:dyDescent="0.3">
      <c r="A176" s="27" t="s">
        <v>108</v>
      </c>
      <c r="B176" s="27" t="s">
        <v>12</v>
      </c>
      <c r="D176" s="27" t="s">
        <v>123</v>
      </c>
      <c r="E176" s="68" t="s">
        <v>257</v>
      </c>
      <c r="F176" s="6"/>
      <c r="G176" s="14"/>
      <c r="H176" s="14"/>
      <c r="I176" s="4" t="str">
        <f>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integer</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entityId</v>
      </c>
      <c r="V176" s="4" t="str">
        <f>IF(LEN(Table2[[#This Row],[!Description]]) &gt; 0, Table2[[#This Row],[!Description]], "rg:None")</f>
        <v>The primary key in the entity that has changed.</v>
      </c>
      <c r="W176" s="13" t="str">
        <f>IF(LEN(Table2[[#This Row],[!FK]])&gt;0,Table2[[#This Row],[!FK]],"rg:None")</f>
        <v>rg:None</v>
      </c>
      <c r="X176" s="4" t="str">
        <f>IF(LEN(concatif2(A:A,Table2[[#This Row],[!Table]],G:G,"Y",D:D,",")) &gt; 0,"rg:[ { 'req' : '"&amp;concatif2(A:A,Table2[[#This Row],[!Table]],G:G,"Y",D:D,"' }, { 'req': '")&amp;"'} ]","rg:[]")</f>
        <v>rg:[ { 'req' : 'id'} ]</v>
      </c>
      <c r="Y176" s="13" t="str">
        <f>IF(LEN(Table2[[#This Row],[!Unique]])&gt;0,IF(Table2[[#This Row],[!Type]] = "id", "rg:None","rg:True"),"rg:None")</f>
        <v>rg:None</v>
      </c>
    </row>
    <row r="177" spans="1:25" ht="16.05" customHeight="1" x14ac:dyDescent="0.3">
      <c r="A177" s="25" t="s">
        <v>108</v>
      </c>
      <c r="B177" s="25" t="s">
        <v>7</v>
      </c>
      <c r="C177" s="5">
        <v>100</v>
      </c>
      <c r="D177" s="25" t="s">
        <v>109</v>
      </c>
      <c r="E177" s="68" t="s">
        <v>258</v>
      </c>
      <c r="F177" s="6"/>
      <c r="G177" s="14"/>
      <c r="H177" s="14"/>
      <c r="I177" s="4" t="str">
        <f t="shared" si="22"/>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string</v>
      </c>
      <c r="S177" s="4" t="str">
        <f>IF(Table2[[#This Row],[!Type]]=S$1, S$1,"rg:None")</f>
        <v>rg:None</v>
      </c>
      <c r="T177" s="4">
        <f>IF(LEN(Table2[[#This Row],[!Length]]) &gt; 0, Table2[[#This Row],[!Length]], "rg:None")</f>
        <v>100</v>
      </c>
      <c r="U177" s="4" t="str">
        <f>IF(LEN(Table2[[#This Row],[!Name]]) &gt; 0, Table2[[#This Row],[!Name]], "rg:None")</f>
        <v>propertyName</v>
      </c>
      <c r="V177" s="4" t="str">
        <f>IF(LEN(Table2[[#This Row],[!Description]]) &gt; 0, Table2[[#This Row],[!Description]], "rg:None")</f>
        <v>The property that has changed.</v>
      </c>
      <c r="W177" s="13" t="str">
        <f>IF(LEN(Table2[[#This Row],[!FK]])&gt;0,Table2[[#This Row],[!FK]],"rg:None")</f>
        <v>rg:None</v>
      </c>
      <c r="X177" s="4" t="str">
        <f>IF(LEN(concatif2(A:A,Table2[[#This Row],[!Table]],G:G,"Y",D:D,",")) &gt; 0,"rg:[ { 'req' : '"&amp;concatif2(A:A,Table2[[#This Row],[!Table]],G:G,"Y",D:D,"' }, { 'req': '")&amp;"'} ]","rg:[]")</f>
        <v>rg:[ { 'req' : 'id'} ]</v>
      </c>
      <c r="Y177" s="13" t="str">
        <f>IF(LEN(Table2[[#This Row],[!Unique]])&gt;0,IF(Table2[[#This Row],[!Type]] = "id", "rg:None","rg:True"),"rg:None")</f>
        <v>rg:None</v>
      </c>
    </row>
    <row r="178" spans="1:25" ht="16.05" customHeight="1" x14ac:dyDescent="0.3">
      <c r="A178" s="25" t="s">
        <v>108</v>
      </c>
      <c r="B178" s="25" t="s">
        <v>7</v>
      </c>
      <c r="C178" s="5">
        <v>8000</v>
      </c>
      <c r="D178" s="25" t="s">
        <v>110</v>
      </c>
      <c r="E178" s="68" t="s">
        <v>259</v>
      </c>
      <c r="F178" s="6"/>
      <c r="G178" s="14"/>
      <c r="H178" s="14"/>
      <c r="I178" s="4" t="str">
        <f t="shared" si="22"/>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string</v>
      </c>
      <c r="S178" s="4" t="str">
        <f>IF(Table2[[#This Row],[!Type]]=S$1, S$1,"rg:None")</f>
        <v>rg:None</v>
      </c>
      <c r="T178" s="4">
        <f>IF(LEN(Table2[[#This Row],[!Length]]) &gt; 0, Table2[[#This Row],[!Length]], "rg:None")</f>
        <v>8000</v>
      </c>
      <c r="U178" s="4" t="str">
        <f>IF(LEN(Table2[[#This Row],[!Name]]) &gt; 0, Table2[[#This Row],[!Name]], "rg:None")</f>
        <v>oldValue</v>
      </c>
      <c r="V178" s="4" t="str">
        <f>IF(LEN(Table2[[#This Row],[!Description]]) &gt; 0, Table2[[#This Row],[!Description]], "rg:None")</f>
        <v>The old value.</v>
      </c>
      <c r="W178" s="13" t="str">
        <f>IF(LEN(Table2[[#This Row],[!FK]])&gt;0,Table2[[#This Row],[!FK]],"rg:None")</f>
        <v>rg:None</v>
      </c>
      <c r="X178" s="4" t="str">
        <f>IF(LEN(concatif2(A:A,Table2[[#This Row],[!Table]],G:G,"Y",D:D,",")) &gt; 0,"rg:[ { 'req' : '"&amp;concatif2(A:A,Table2[[#This Row],[!Table]],G:G,"Y",D:D,"' }, { 'req': '")&amp;"'} ]","rg:[]")</f>
        <v>rg:[ { 'req' : 'id'} ]</v>
      </c>
      <c r="Y178" s="13" t="str">
        <f>IF(LEN(Table2[[#This Row],[!Unique]])&gt;0,IF(Table2[[#This Row],[!Type]] = "id", "rg:None","rg:True"),"rg:None")</f>
        <v>rg:None</v>
      </c>
    </row>
    <row r="179" spans="1:25" ht="16.05" customHeight="1" x14ac:dyDescent="0.3">
      <c r="A179" s="25" t="s">
        <v>108</v>
      </c>
      <c r="B179" s="25" t="s">
        <v>7</v>
      </c>
      <c r="C179" s="5">
        <v>8000</v>
      </c>
      <c r="D179" s="25" t="s">
        <v>111</v>
      </c>
      <c r="E179" s="68" t="s">
        <v>260</v>
      </c>
      <c r="F179" s="6"/>
      <c r="G179" s="14"/>
      <c r="H179" s="14"/>
      <c r="I179" s="4" t="str">
        <f t="shared" si="22"/>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string</v>
      </c>
      <c r="S179" s="4" t="str">
        <f>IF(Table2[[#This Row],[!Type]]=S$1, S$1,"rg:None")</f>
        <v>rg:None</v>
      </c>
      <c r="T179" s="4">
        <f>IF(LEN(Table2[[#This Row],[!Length]]) &gt; 0, Table2[[#This Row],[!Length]], "rg:None")</f>
        <v>8000</v>
      </c>
      <c r="U179" s="4" t="str">
        <f>IF(LEN(Table2[[#This Row],[!Name]]) &gt; 0, Table2[[#This Row],[!Name]], "rg:None")</f>
        <v>newValue</v>
      </c>
      <c r="V179" s="4" t="str">
        <f>IF(LEN(Table2[[#This Row],[!Description]]) &gt; 0, Table2[[#This Row],[!Description]], "rg:None")</f>
        <v>The new value.</v>
      </c>
      <c r="W179" s="13" t="str">
        <f>IF(LEN(Table2[[#This Row],[!FK]])&gt;0,Table2[[#This Row],[!FK]],"rg:None")</f>
        <v>rg:None</v>
      </c>
      <c r="X179" s="4" t="str">
        <f>IF(LEN(concatif2(A:A,Table2[[#This Row],[!Table]],G:G,"Y",D:D,",")) &gt; 0,"rg:[ { 'req' : '"&amp;concatif2(A:A,Table2[[#This Row],[!Table]],G:G,"Y",D:D,"' }, { 'req': '")&amp;"'} ]","rg:[]")</f>
        <v>rg:[ { 'req' : 'id'} ]</v>
      </c>
      <c r="Y179" s="13" t="str">
        <f>IF(LEN(Table2[[#This Row],[!Unique]])&gt;0,IF(Table2[[#This Row],[!Type]] = "id", "rg:None","rg:True"),"rg:None")</f>
        <v>rg:None</v>
      </c>
    </row>
    <row r="180" spans="1:25" ht="16.05" customHeight="1" x14ac:dyDescent="0.3">
      <c r="A180" s="25" t="s">
        <v>108</v>
      </c>
      <c r="B180" s="25" t="s">
        <v>10</v>
      </c>
      <c r="D180" s="25" t="s">
        <v>122</v>
      </c>
      <c r="E180" s="68" t="s">
        <v>261</v>
      </c>
      <c r="F180" s="6"/>
      <c r="G180" s="14"/>
      <c r="H180" s="14"/>
      <c r="I180" s="4" t="str">
        <f t="shared" si="22"/>
        <v>Defs</v>
      </c>
      <c r="J180" s="4" t="str">
        <f>IF(Table2[[#This Row],[!Type]]=J$1, J$1,"rg:None")</f>
        <v>boolean</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isDelete</v>
      </c>
      <c r="V180" s="4" t="str">
        <f>IF(LEN(Table2[[#This Row],[!Description]]) &gt; 0, Table2[[#This Row],[!Description]], "rg:None")</f>
        <v>If true the record was deleted.</v>
      </c>
      <c r="W180" s="13" t="str">
        <f>IF(LEN(Table2[[#This Row],[!FK]])&gt;0,Table2[[#This Row],[!FK]],"rg:None")</f>
        <v>rg:None</v>
      </c>
      <c r="X180" s="4" t="str">
        <f>IF(LEN(concatif2(A:A,Table2[[#This Row],[!Table]],G:G,"Y",D:D,",")) &gt; 0,"rg:[ { 'req' : '"&amp;concatif2(A:A,Table2[[#This Row],[!Table]],G:G,"Y",D:D,"' }, { 'req': '")&amp;"'} ]","rg:[]")</f>
        <v>rg:[ { 'req' : 'id'} ]</v>
      </c>
      <c r="Y180" s="13"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V24"/>
  <sheetViews>
    <sheetView zoomScaleNormal="100" workbookViewId="0">
      <pane ySplit="1" topLeftCell="A2" activePane="bottomLeft" state="frozen"/>
      <selection pane="bottomLeft" activeCell="D6" sqref="D6"/>
    </sheetView>
  </sheetViews>
  <sheetFormatPr defaultColWidth="8.69921875" defaultRowHeight="15.6" x14ac:dyDescent="0.3"/>
  <cols>
    <col min="1" max="1" width="6.8984375" style="5" bestFit="1" customWidth="1"/>
    <col min="2" max="2" width="21.19921875" style="5" bestFit="1" customWidth="1"/>
    <col min="3" max="3" width="25.69921875" style="5" bestFit="1" customWidth="1"/>
    <col min="4" max="4" width="17.8984375" style="6" bestFit="1" customWidth="1"/>
    <col min="5" max="5" width="11.69921875" style="6" bestFit="1" customWidth="1"/>
    <col min="6" max="6" width="9.296875" style="6" bestFit="1" customWidth="1"/>
    <col min="7" max="7" width="33.5" style="6" customWidth="1"/>
    <col min="8" max="8" width="8.69921875" hidden="1" customWidth="1"/>
    <col min="9" max="21" width="8.69921875" style="5" hidden="1" customWidth="1"/>
    <col min="22" max="22" width="20.69921875" style="5" hidden="1" customWidth="1"/>
    <col min="23" max="16384" width="8.69921875" style="5"/>
  </cols>
  <sheetData>
    <row r="1" spans="1:22" s="1" customFormat="1" ht="14.4" x14ac:dyDescent="0.3">
      <c r="A1" s="1" t="s">
        <v>59</v>
      </c>
      <c r="B1" s="1" t="s">
        <v>60</v>
      </c>
      <c r="C1" s="1" t="s">
        <v>61</v>
      </c>
      <c r="D1" s="1" t="s">
        <v>62</v>
      </c>
      <c r="E1" s="1" t="s">
        <v>105</v>
      </c>
      <c r="F1" s="2" t="s">
        <v>63</v>
      </c>
      <c r="G1" s="1" t="s">
        <v>64</v>
      </c>
      <c r="H1" s="9" t="s">
        <v>41</v>
      </c>
      <c r="I1" s="9" t="s">
        <v>51</v>
      </c>
      <c r="J1" s="9" t="s">
        <v>52</v>
      </c>
      <c r="K1" s="9" t="s">
        <v>53</v>
      </c>
      <c r="L1" s="9" t="s">
        <v>54</v>
      </c>
      <c r="M1" s="9" t="s">
        <v>55</v>
      </c>
      <c r="N1" s="9" t="s">
        <v>56</v>
      </c>
      <c r="O1" s="9" t="s">
        <v>57</v>
      </c>
      <c r="P1" s="9" t="s">
        <v>58</v>
      </c>
      <c r="Q1" s="9" t="s">
        <v>47</v>
      </c>
      <c r="R1" s="9" t="s">
        <v>48</v>
      </c>
      <c r="S1" s="9" t="s">
        <v>49</v>
      </c>
      <c r="T1" s="9" t="s">
        <v>50</v>
      </c>
      <c r="U1" s="9" t="s">
        <v>1</v>
      </c>
      <c r="V1" s="1" t="s">
        <v>107</v>
      </c>
    </row>
    <row r="2" spans="1:22" x14ac:dyDescent="0.3">
      <c r="A2" s="29" t="s">
        <v>51</v>
      </c>
      <c r="B2" s="28" t="s">
        <v>124</v>
      </c>
      <c r="C2" s="28" t="s">
        <v>125</v>
      </c>
      <c r="D2" s="3"/>
      <c r="E2" s="3"/>
      <c r="F2" s="3"/>
      <c r="G2" s="3"/>
      <c r="H2" s="8" t="str">
        <f t="shared" ref="H2:H10"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credittrades</v>
      </c>
      <c r="R2" s="8" t="str">
        <f>IF(LEN(Table23[[#This Row],[!tag]]) &gt;0,Table23[[#This Row],[!tag]],"rg:None")</f>
        <v>CreditTrade</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29" t="s">
        <v>51</v>
      </c>
      <c r="B3" s="49" t="s">
        <v>142</v>
      </c>
      <c r="C3" s="48" t="s">
        <v>141</v>
      </c>
      <c r="D3" s="28"/>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credittradehistories</v>
      </c>
      <c r="R3" s="5" t="str">
        <f>IF(LEN(Table23[[#This Row],[!tag]]) &gt;0,Table23[[#This Row],[!tag]],"rg:None")</f>
        <v>CreditTradeHistory</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29" t="s">
        <v>51</v>
      </c>
      <c r="B4" s="44" t="s">
        <v>136</v>
      </c>
      <c r="C4" s="48" t="s">
        <v>134</v>
      </c>
      <c r="D4" s="4"/>
      <c r="E4" s="32"/>
      <c r="F4" s="11"/>
      <c r="G4" s="12"/>
      <c r="H4" s="13" t="str">
        <f t="shared" ref="H4:H5" si="1">IF(LEN(A4) &gt;0,"Path","-")</f>
        <v>Path</v>
      </c>
      <c r="I4" s="13" t="str">
        <f>IF(LEN(Table23[[#This Row],[!type]])&gt;0,IF(Table23[[#This Row],[!type]]=I$1,"1","rg:None"),"-")</f>
        <v>1</v>
      </c>
      <c r="J4" s="13" t="str">
        <f>IF(LEN(Table23[[#This Row],[!type]])&gt;0,IF(Table23[[#This Row],[!type]]=J$1,"1","rg:None"),"-")</f>
        <v>rg:None</v>
      </c>
      <c r="K4" s="13" t="str">
        <f>IF(LEN(Table23[[#This Row],[!type]])&gt;0,IF(Table23[[#This Row],[!type]]=K$1,"1","rg:None"),"-")</f>
        <v>rg:None</v>
      </c>
      <c r="L4" s="13" t="str">
        <f>IF(LEN(Table23[[#This Row],[!type]])&gt;0,IF(Table23[[#This Row],[!type]]=L$1,"1","rg:None"),"-")</f>
        <v>rg:None</v>
      </c>
      <c r="M4" s="13" t="str">
        <f>IF(LEN(Table23[[#This Row],[!type]])&gt;0,IF(Table23[[#This Row],[!type]]=M$1,"1","rg:None"),"-")</f>
        <v>rg:None</v>
      </c>
      <c r="N4" s="13" t="str">
        <f>IF(LEN(Table23[[#This Row],[!type]])&gt;0,IF(Table23[[#This Row],[!type]]=N$1,"1","rg:None"),"-")</f>
        <v>rg:None</v>
      </c>
      <c r="O4" s="13" t="str">
        <f>IF(LEN(Table23[[#This Row],[!type]])&gt;0,IF(Table23[[#This Row],[!type]]=O$1,"1","rg:None"),"-")</f>
        <v>rg:None</v>
      </c>
      <c r="P4" s="13" t="str">
        <f>IF(LEN(Table23[[#This Row],[!type]])&gt;0,IF(Table23[[#This Row],[!type]]=P$1,"1","rg:None"),"-")</f>
        <v>rg:None</v>
      </c>
      <c r="Q4" s="13" t="str">
        <f>IF(LEN(Table23[[#This Row],[!path]]) &gt;0,Table23[[#This Row],[!path]],"rg:None")</f>
        <v>credittradestatuses</v>
      </c>
      <c r="R4" s="13" t="str">
        <f>IF(LEN(Table23[[#This Row],[!tag]]) &gt;0,Table23[[#This Row],[!tag]],"rg:None")</f>
        <v>CreditTradeStatus</v>
      </c>
      <c r="S4" s="13" t="str">
        <f>IF(LEN(Table23[[#This Row],[!paramDef]]) &gt;0,Table23[[#This Row],[!paramDef]],"rg:None")</f>
        <v>rg:None</v>
      </c>
      <c r="T4" s="13" t="str">
        <f>IF(LEN(Table23[[#This Row],[!respDef]]) &gt;0,Table23[[#This Row],[!respDef]],"rg:None")</f>
        <v>rg:None</v>
      </c>
      <c r="U4" s="13" t="str">
        <f>IF(LEN(Table23[[#This Row],[!Description]]) &gt;0,Table23[[#This Row],[!Description]],"rg:None")</f>
        <v>rg:None</v>
      </c>
      <c r="V4" s="4" t="str">
        <f>IF(LEN(Table23[[#This Row],[!permission]]) &gt;0,Table23[[#This Row],[!permission]],"rg:None")</f>
        <v>rg:None</v>
      </c>
    </row>
    <row r="5" spans="1:22" x14ac:dyDescent="0.3">
      <c r="A5" s="29" t="s">
        <v>51</v>
      </c>
      <c r="B5" s="44" t="s">
        <v>137</v>
      </c>
      <c r="C5" s="48" t="s">
        <v>135</v>
      </c>
      <c r="D5" s="4"/>
      <c r="E5" s="32"/>
      <c r="F5" s="11"/>
      <c r="G5" s="12"/>
      <c r="H5" s="13" t="str">
        <f t="shared" si="1"/>
        <v>Path</v>
      </c>
      <c r="I5" s="13" t="str">
        <f>IF(LEN(Table23[[#This Row],[!type]])&gt;0,IF(Table23[[#This Row],[!type]]=I$1,"1","rg:None"),"-")</f>
        <v>1</v>
      </c>
      <c r="J5" s="13" t="str">
        <f>IF(LEN(Table23[[#This Row],[!type]])&gt;0,IF(Table23[[#This Row],[!type]]=J$1,"1","rg:None"),"-")</f>
        <v>rg:None</v>
      </c>
      <c r="K5" s="13" t="str">
        <f>IF(LEN(Table23[[#This Row],[!type]])&gt;0,IF(Table23[[#This Row],[!type]]=K$1,"1","rg:None"),"-")</f>
        <v>rg:None</v>
      </c>
      <c r="L5" s="13" t="str">
        <f>IF(LEN(Table23[[#This Row],[!type]])&gt;0,IF(Table23[[#This Row],[!type]]=L$1,"1","rg:None"),"-")</f>
        <v>rg:None</v>
      </c>
      <c r="M5" s="13" t="str">
        <f>IF(LEN(Table23[[#This Row],[!type]])&gt;0,IF(Table23[[#This Row],[!type]]=M$1,"1","rg:None"),"-")</f>
        <v>rg:None</v>
      </c>
      <c r="N5" s="13" t="str">
        <f>IF(LEN(Table23[[#This Row],[!type]])&gt;0,IF(Table23[[#This Row],[!type]]=N$1,"1","rg:None"),"-")</f>
        <v>rg:None</v>
      </c>
      <c r="O5" s="13" t="str">
        <f>IF(LEN(Table23[[#This Row],[!type]])&gt;0,IF(Table23[[#This Row],[!type]]=O$1,"1","rg:None"),"-")</f>
        <v>rg:None</v>
      </c>
      <c r="P5" s="13" t="str">
        <f>IF(LEN(Table23[[#This Row],[!type]])&gt;0,IF(Table23[[#This Row],[!type]]=P$1,"1","rg:None"),"-")</f>
        <v>rg:None</v>
      </c>
      <c r="Q5" s="13" t="str">
        <f>IF(LEN(Table23[[#This Row],[!path]]) &gt;0,Table23[[#This Row],[!path]],"rg:None")</f>
        <v>credittradetypes</v>
      </c>
      <c r="R5" s="13" t="str">
        <f>IF(LEN(Table23[[#This Row],[!tag]]) &gt;0,Table23[[#This Row],[!tag]],"rg:None")</f>
        <v>CreditTradeType</v>
      </c>
      <c r="S5" s="13" t="str">
        <f>IF(LEN(Table23[[#This Row],[!paramDef]]) &gt;0,Table23[[#This Row],[!paramDef]],"rg:None")</f>
        <v>rg:None</v>
      </c>
      <c r="T5" s="13" t="str">
        <f>IF(LEN(Table23[[#This Row],[!respDef]]) &gt;0,Table23[[#This Row],[!respDef]],"rg:None")</f>
        <v>rg:None</v>
      </c>
      <c r="U5" s="13" t="str">
        <f>IF(LEN(Table23[[#This Row],[!Description]]) &gt;0,Table23[[#This Row],[!Description]],"rg:None")</f>
        <v>rg:None</v>
      </c>
      <c r="V5" s="4" t="str">
        <f>IF(LEN(Table23[[#This Row],[!permission]]) &gt;0,Table23[[#This Row],[!permission]],"rg:None")</f>
        <v>rg:None</v>
      </c>
    </row>
    <row r="6" spans="1:22" x14ac:dyDescent="0.3">
      <c r="A6" s="88" t="s">
        <v>51</v>
      </c>
      <c r="B6" s="88" t="s">
        <v>348</v>
      </c>
      <c r="C6" s="89" t="s">
        <v>337</v>
      </c>
      <c r="D6" s="4"/>
      <c r="E6" s="32"/>
      <c r="F6" s="11"/>
      <c r="G6" s="12"/>
      <c r="H6" s="13" t="str">
        <f>IF(LEN(A6) &gt;0,"Path","-")</f>
        <v>Path</v>
      </c>
      <c r="I6" s="13" t="str">
        <f>IF(LEN(Table23[[#This Row],[!type]])&gt;0,IF(Table23[[#This Row],[!type]]=I$1,"1","rg:None"),"-")</f>
        <v>1</v>
      </c>
      <c r="J6" s="13" t="str">
        <f>IF(LEN(Table23[[#This Row],[!type]])&gt;0,IF(Table23[[#This Row],[!type]]=J$1,"1","rg:None"),"-")</f>
        <v>rg:None</v>
      </c>
      <c r="K6" s="13" t="str">
        <f>IF(LEN(Table23[[#This Row],[!type]])&gt;0,IF(Table23[[#This Row],[!type]]=K$1,"1","rg:None"),"-")</f>
        <v>rg:None</v>
      </c>
      <c r="L6" s="13" t="str">
        <f>IF(LEN(Table23[[#This Row],[!type]])&gt;0,IF(Table23[[#This Row],[!type]]=L$1,"1","rg:None"),"-")</f>
        <v>rg:None</v>
      </c>
      <c r="M6" s="13" t="str">
        <f>IF(LEN(Table23[[#This Row],[!type]])&gt;0,IF(Table23[[#This Row],[!type]]=M$1,"1","rg:None"),"-")</f>
        <v>rg:None</v>
      </c>
      <c r="N6" s="13" t="str">
        <f>IF(LEN(Table23[[#This Row],[!type]])&gt;0,IF(Table23[[#This Row],[!type]]=N$1,"1","rg:None"),"-")</f>
        <v>rg:None</v>
      </c>
      <c r="O6" s="13" t="str">
        <f>IF(LEN(Table23[[#This Row],[!type]])&gt;0,IF(Table23[[#This Row],[!type]]=O$1,"1","rg:None"),"-")</f>
        <v>rg:None</v>
      </c>
      <c r="P6" s="13" t="str">
        <f>IF(LEN(Table23[[#This Row],[!type]])&gt;0,IF(Table23[[#This Row],[!type]]=P$1,"1","rg:None"),"-")</f>
        <v>rg:None</v>
      </c>
      <c r="Q6" s="13" t="str">
        <f>IF(LEN(Table23[[#This Row],[!path]]) &gt;0,Table23[[#This Row],[!path]],"rg:None")</f>
        <v>credittradezeroreason</v>
      </c>
      <c r="R6" s="13" t="str">
        <f>IF(LEN(Table23[[#This Row],[!tag]]) &gt;0,Table23[[#This Row],[!tag]],"rg:None")</f>
        <v>CreditTradeZeroReason</v>
      </c>
      <c r="S6" s="13" t="str">
        <f>IF(LEN(Table23[[#This Row],[!paramDef]]) &gt;0,Table23[[#This Row],[!paramDef]],"rg:None")</f>
        <v>rg:None</v>
      </c>
      <c r="T6" s="13" t="str">
        <f>IF(LEN(Table23[[#This Row],[!respDef]]) &gt;0,Table23[[#This Row],[!respDef]],"rg:None")</f>
        <v>rg:None</v>
      </c>
      <c r="U6" s="13" t="str">
        <f>IF(LEN(Table23[[#This Row],[!Description]]) &gt;0,Table23[[#This Row],[!Description]],"rg:None")</f>
        <v>rg:None</v>
      </c>
      <c r="V6" s="4" t="str">
        <f>IF(LEN(Table23[[#This Row],[!permission]]) &gt;0,Table23[[#This Row],[!permission]],"rg:None")</f>
        <v>rg:None</v>
      </c>
    </row>
    <row r="7" spans="1:22" x14ac:dyDescent="0.3">
      <c r="A7" s="42" t="s">
        <v>51</v>
      </c>
      <c r="B7" s="29" t="s">
        <v>131</v>
      </c>
      <c r="C7" s="33" t="s">
        <v>127</v>
      </c>
      <c r="D7" s="4"/>
      <c r="E7" s="32"/>
      <c r="F7" s="11"/>
      <c r="G7" s="12"/>
      <c r="H7" s="13" t="str">
        <f>IF(LEN(A7) &gt;0,"Path","-")</f>
        <v>Path</v>
      </c>
      <c r="I7" s="13" t="str">
        <f>IF(LEN(Table23[[#This Row],[!type]])&gt;0,IF(Table23[[#This Row],[!type]]=I$1,"1","rg:None"),"-")</f>
        <v>1</v>
      </c>
      <c r="J7" s="13" t="str">
        <f>IF(LEN(Table23[[#This Row],[!type]])&gt;0,IF(Table23[[#This Row],[!type]]=J$1,"1","rg:None"),"-")</f>
        <v>rg:None</v>
      </c>
      <c r="K7" s="13" t="str">
        <f>IF(LEN(Table23[[#This Row],[!type]])&gt;0,IF(Table23[[#This Row],[!type]]=K$1,"1","rg:None"),"-")</f>
        <v>rg:None</v>
      </c>
      <c r="L7" s="13" t="str">
        <f>IF(LEN(Table23[[#This Row],[!type]])&gt;0,IF(Table23[[#This Row],[!type]]=L$1,"1","rg:None"),"-")</f>
        <v>rg:None</v>
      </c>
      <c r="M7" s="13" t="str">
        <f>IF(LEN(Table23[[#This Row],[!type]])&gt;0,IF(Table23[[#This Row],[!type]]=M$1,"1","rg:None"),"-")</f>
        <v>rg:None</v>
      </c>
      <c r="N7" s="13" t="str">
        <f>IF(LEN(Table23[[#This Row],[!type]])&gt;0,IF(Table23[[#This Row],[!type]]=N$1,"1","rg:None"),"-")</f>
        <v>rg:None</v>
      </c>
      <c r="O7" s="13" t="str">
        <f>IF(LEN(Table23[[#This Row],[!type]])&gt;0,IF(Table23[[#This Row],[!type]]=O$1,"1","rg:None"),"-")</f>
        <v>rg:None</v>
      </c>
      <c r="P7" s="13" t="str">
        <f>IF(LEN(Table23[[#This Row],[!type]])&gt;0,IF(Table23[[#This Row],[!type]]=P$1,"1","rg:None"),"-")</f>
        <v>rg:None</v>
      </c>
      <c r="Q7" s="13" t="str">
        <f>IF(LEN(Table23[[#This Row],[!path]]) &gt;0,Table23[[#This Row],[!path]],"rg:None")</f>
        <v>fuelsuppliers</v>
      </c>
      <c r="R7" s="13" t="str">
        <f>IF(LEN(Table23[[#This Row],[!tag]]) &gt;0,Table23[[#This Row],[!tag]],"rg:None")</f>
        <v>FuelSupplier</v>
      </c>
      <c r="S7" s="13" t="str">
        <f>IF(LEN(Table23[[#This Row],[!paramDef]]) &gt;0,Table23[[#This Row],[!paramDef]],"rg:None")</f>
        <v>rg:None</v>
      </c>
      <c r="T7" s="13" t="str">
        <f>IF(LEN(Table23[[#This Row],[!respDef]]) &gt;0,Table23[[#This Row],[!respDef]],"rg:None")</f>
        <v>rg:None</v>
      </c>
      <c r="U7" s="13" t="str">
        <f>IF(LEN(Table23[[#This Row],[!Description]]) &gt;0,Table23[[#This Row],[!Description]],"rg:None")</f>
        <v>rg:None</v>
      </c>
      <c r="V7" s="4" t="str">
        <f>IF(LEN(Table23[[#This Row],[!permission]]) &gt;0,Table23[[#This Row],[!permission]],"rg:None")</f>
        <v>rg:None</v>
      </c>
    </row>
    <row r="8" spans="1:22" x14ac:dyDescent="0.3">
      <c r="A8" s="72" t="s">
        <v>51</v>
      </c>
      <c r="B8" s="72" t="s">
        <v>308</v>
      </c>
      <c r="C8" s="5" t="s">
        <v>177</v>
      </c>
      <c r="D8" s="4"/>
      <c r="E8" s="32"/>
      <c r="F8" s="11"/>
      <c r="G8" s="12"/>
      <c r="H8" s="13" t="str">
        <f>IF(LEN(A8) &gt;0,"Path","-")</f>
        <v>Path</v>
      </c>
      <c r="I8" s="13" t="str">
        <f>IF(LEN(Table23[[#This Row],[!type]])&gt;0,IF(Table23[[#This Row],[!type]]=I$1,"1","rg:None"),"-")</f>
        <v>1</v>
      </c>
      <c r="J8" s="13" t="str">
        <f>IF(LEN(Table23[[#This Row],[!type]])&gt;0,IF(Table23[[#This Row],[!type]]=J$1,"1","rg:None"),"-")</f>
        <v>rg:None</v>
      </c>
      <c r="K8" s="13" t="str">
        <f>IF(LEN(Table23[[#This Row],[!type]])&gt;0,IF(Table23[[#This Row],[!type]]=K$1,"1","rg:None"),"-")</f>
        <v>rg:None</v>
      </c>
      <c r="L8" s="13" t="str">
        <f>IF(LEN(Table23[[#This Row],[!type]])&gt;0,IF(Table23[[#This Row],[!type]]=L$1,"1","rg:None"),"-")</f>
        <v>rg:None</v>
      </c>
      <c r="M8" s="13" t="str">
        <f>IF(LEN(Table23[[#This Row],[!type]])&gt;0,IF(Table23[[#This Row],[!type]]=M$1,"1","rg:None"),"-")</f>
        <v>rg:None</v>
      </c>
      <c r="N8" s="13" t="str">
        <f>IF(LEN(Table23[[#This Row],[!type]])&gt;0,IF(Table23[[#This Row],[!type]]=N$1,"1","rg:None"),"-")</f>
        <v>rg:None</v>
      </c>
      <c r="O8" s="13" t="str">
        <f>IF(LEN(Table23[[#This Row],[!type]])&gt;0,IF(Table23[[#This Row],[!type]]=O$1,"1","rg:None"),"-")</f>
        <v>rg:None</v>
      </c>
      <c r="P8" s="13" t="str">
        <f>IF(LEN(Table23[[#This Row],[!type]])&gt;0,IF(Table23[[#This Row],[!type]]=P$1,"1","rg:None"),"-")</f>
        <v>rg:None</v>
      </c>
      <c r="Q8" s="13" t="str">
        <f>IF(LEN(Table23[[#This Row],[!path]]) &gt;0,Table23[[#This Row],[!path]],"rg:None")</f>
        <v>fuelsuppliersCCDatum</v>
      </c>
      <c r="R8" s="13" t="str">
        <f>IF(LEN(Table23[[#This Row],[!tag]]) &gt;0,Table23[[#This Row],[!tag]],"rg:None")</f>
        <v>FuelSupplierCCData</v>
      </c>
      <c r="S8" s="13" t="str">
        <f>IF(LEN(Table23[[#This Row],[!paramDef]]) &gt;0,Table23[[#This Row],[!paramDef]],"rg:None")</f>
        <v>rg:None</v>
      </c>
      <c r="T8" s="13" t="str">
        <f>IF(LEN(Table23[[#This Row],[!respDef]]) &gt;0,Table23[[#This Row],[!respDef]],"rg:None")</f>
        <v>rg:None</v>
      </c>
      <c r="U8" s="13" t="str">
        <f>IF(LEN(Table23[[#This Row],[!Description]]) &gt;0,Table23[[#This Row],[!Description]],"rg:None")</f>
        <v>rg:None</v>
      </c>
      <c r="V8" s="4" t="str">
        <f>IF(LEN(Table23[[#This Row],[!permission]]) &gt;0,Table23[[#This Row],[!permission]],"rg:None")</f>
        <v>rg:None</v>
      </c>
    </row>
    <row r="9" spans="1:22" x14ac:dyDescent="0.3">
      <c r="A9" s="50" t="s">
        <v>51</v>
      </c>
      <c r="B9" s="50" t="s">
        <v>161</v>
      </c>
      <c r="C9" s="53" t="s">
        <v>157</v>
      </c>
      <c r="D9" s="4"/>
      <c r="E9" s="32"/>
      <c r="F9" s="11"/>
      <c r="G9" s="12"/>
      <c r="H9" s="13" t="str">
        <f>IF(LEN(A9) &gt;0,"Path","-")</f>
        <v>Path</v>
      </c>
      <c r="I9" s="13" t="str">
        <f>IF(LEN(Table23[[#This Row],[!type]])&gt;0,IF(Table23[[#This Row],[!type]]=I$1,"1","rg:None"),"-")</f>
        <v>1</v>
      </c>
      <c r="J9" s="13" t="str">
        <f>IF(LEN(Table23[[#This Row],[!type]])&gt;0,IF(Table23[[#This Row],[!type]]=J$1,"1","rg:None"),"-")</f>
        <v>rg:None</v>
      </c>
      <c r="K9" s="13" t="str">
        <f>IF(LEN(Table23[[#This Row],[!type]])&gt;0,IF(Table23[[#This Row],[!type]]=K$1,"1","rg:None"),"-")</f>
        <v>rg:None</v>
      </c>
      <c r="L9" s="13" t="str">
        <f>IF(LEN(Table23[[#This Row],[!type]])&gt;0,IF(Table23[[#This Row],[!type]]=L$1,"1","rg:None"),"-")</f>
        <v>rg:None</v>
      </c>
      <c r="M9" s="13" t="str">
        <f>IF(LEN(Table23[[#This Row],[!type]])&gt;0,IF(Table23[[#This Row],[!type]]=M$1,"1","rg:None"),"-")</f>
        <v>rg:None</v>
      </c>
      <c r="N9" s="13" t="str">
        <f>IF(LEN(Table23[[#This Row],[!type]])&gt;0,IF(Table23[[#This Row],[!type]]=N$1,"1","rg:None"),"-")</f>
        <v>rg:None</v>
      </c>
      <c r="O9" s="13" t="str">
        <f>IF(LEN(Table23[[#This Row],[!type]])&gt;0,IF(Table23[[#This Row],[!type]]=O$1,"1","rg:None"),"-")</f>
        <v>rg:None</v>
      </c>
      <c r="P9" s="13" t="str">
        <f>IF(LEN(Table23[[#This Row],[!type]])&gt;0,IF(Table23[[#This Row],[!type]]=P$1,"1","rg:None"),"-")</f>
        <v>rg:None</v>
      </c>
      <c r="Q9" s="13" t="str">
        <f>IF(LEN(Table23[[#This Row],[!path]]) &gt;0,Table23[[#This Row],[!path]],"rg:None")</f>
        <v>fuelsupplierbalances</v>
      </c>
      <c r="R9" s="13" t="str">
        <f>IF(LEN(Table23[[#This Row],[!tag]]) &gt;0,Table23[[#This Row],[!tag]],"rg:None")</f>
        <v>FuelSupplierBalance</v>
      </c>
      <c r="S9" s="13" t="str">
        <f>IF(LEN(Table23[[#This Row],[!paramDef]]) &gt;0,Table23[[#This Row],[!paramDef]],"rg:None")</f>
        <v>rg:None</v>
      </c>
      <c r="T9" s="13" t="str">
        <f>IF(LEN(Table23[[#This Row],[!respDef]]) &gt;0,Table23[[#This Row],[!respDef]],"rg:None")</f>
        <v>rg:None</v>
      </c>
      <c r="U9" s="13" t="str">
        <f>IF(LEN(Table23[[#This Row],[!Description]]) &gt;0,Table23[[#This Row],[!Description]],"rg:None")</f>
        <v>rg:None</v>
      </c>
      <c r="V9" s="4" t="str">
        <f>IF(LEN(Table23[[#This Row],[!permission]]) &gt;0,Table23[[#This Row],[!permission]],"rg:None")</f>
        <v>rg:None</v>
      </c>
    </row>
    <row r="10" spans="1:22" x14ac:dyDescent="0.3">
      <c r="A10" s="29" t="s">
        <v>51</v>
      </c>
      <c r="B10" s="43" t="s">
        <v>138</v>
      </c>
      <c r="C10" s="43" t="s">
        <v>139</v>
      </c>
      <c r="D10" s="3"/>
      <c r="E10" s="3"/>
      <c r="F10" s="3"/>
      <c r="G10" s="3"/>
      <c r="H10" s="8" t="str">
        <f t="shared" si="0"/>
        <v>Path</v>
      </c>
      <c r="I10" s="5" t="str">
        <f>IF(LEN(Table23[[#This Row],[!type]])&gt;0,IF(Table23[[#This Row],[!type]]=I$1,"1","rg:None"),"-")</f>
        <v>1</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Row],[!type]])&gt;0,IF(Table23[[#This Row],[!type]]=P$1,"1","rg:None"),"-")</f>
        <v>rg:None</v>
      </c>
      <c r="Q10" s="5" t="str">
        <f>IF(LEN(Table23[[#This Row],[!path]]) &gt;0,Table23[[#This Row],[!path]],"rg:None")</f>
        <v>fuelsupplierstatuses</v>
      </c>
      <c r="R10" s="5" t="str">
        <f>IF(LEN(Table23[[#This Row],[!tag]]) &gt;0,Table23[[#This Row],[!tag]],"rg:None")</f>
        <v>FuelSupplierStatus</v>
      </c>
      <c r="S10" s="5" t="str">
        <f>IF(LEN(Table23[[#This Row],[!paramDef]]) &gt;0,Table23[[#This Row],[!paramDef]],"rg:None")</f>
        <v>rg:None</v>
      </c>
      <c r="T10" s="5" t="str">
        <f>IF(LEN(Table23[[#This Row],[!respDef]]) &gt;0,Table23[[#This Row],[!respDef]],"rg:None")</f>
        <v>rg:None</v>
      </c>
      <c r="U10" s="5" t="str">
        <f>IF(LEN(Table23[[#This Row],[!Description]]) &gt;0,Table23[[#This Row],[!Description]],"rg:None")</f>
        <v>rg:None</v>
      </c>
      <c r="V10" s="4" t="str">
        <f>IF(LEN(Table23[[#This Row],[!permission]]) &gt;0,Table23[[#This Row],[!permission]],"rg:None")</f>
        <v>rg:None</v>
      </c>
    </row>
    <row r="11" spans="1:22" x14ac:dyDescent="0.3">
      <c r="A11" s="72" t="s">
        <v>51</v>
      </c>
      <c r="B11" s="72" t="s">
        <v>309</v>
      </c>
      <c r="C11" s="71" t="s">
        <v>204</v>
      </c>
      <c r="D11" s="4"/>
      <c r="E11" s="32"/>
      <c r="F11" s="11"/>
      <c r="G11" s="12"/>
      <c r="H11" s="13" t="str">
        <f>IF(LEN(A11) &gt;0,"Path","-")</f>
        <v>Path</v>
      </c>
      <c r="I11" s="4" t="str">
        <f>IF(LEN(Table23[[#This Row],[!type]])&gt;0,IF(Table23[[#This Row],[!type]]=I$1,"1","rg:None"),"-")</f>
        <v>1</v>
      </c>
      <c r="J11" s="4" t="str">
        <f>IF(LEN(Table23[[#This Row],[!type]])&gt;0,IF(Table23[[#This Row],[!type]]=J$1,"1","rg:None"),"-")</f>
        <v>rg:None</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fuelsupplieractionstypes</v>
      </c>
      <c r="R11" s="4" t="str">
        <f>IF(LEN(Table23[[#This Row],[!tag]]) &gt;0,Table23[[#This Row],[!tag]],"rg:None")</f>
        <v>FuelSupplierActionsType</v>
      </c>
      <c r="S11" s="4" t="str">
        <f>IF(LEN(Table23[[#This Row],[!paramDef]]) &gt;0,Table23[[#This Row],[!paramDef]],"rg:None")</f>
        <v>rg:None</v>
      </c>
      <c r="T11" s="4" t="str">
        <f>IF(LEN(Table23[[#This Row],[!respDef]]) &gt;0,Table23[[#This Row],[!respDef]],"rg:None")</f>
        <v>rg:None</v>
      </c>
      <c r="U11" s="4" t="str">
        <f>IF(LEN(Table23[[#This Row],[!Description]]) &gt;0,Table23[[#This Row],[!Description]],"rg:None")</f>
        <v>rg:None</v>
      </c>
      <c r="V11" s="4" t="str">
        <f>IF(LEN(Table23[[#This Row],[!permission]]) &gt;0,Table23[[#This Row],[!permission]],"rg:None")</f>
        <v>rg:None</v>
      </c>
    </row>
    <row r="12" spans="1:22" x14ac:dyDescent="0.3">
      <c r="A12" s="44" t="s">
        <v>51</v>
      </c>
      <c r="B12" s="44" t="s">
        <v>150</v>
      </c>
      <c r="C12" s="43" t="s">
        <v>148</v>
      </c>
      <c r="D12" s="4"/>
      <c r="E12" s="32"/>
      <c r="F12" s="11"/>
      <c r="G12" s="12"/>
      <c r="H12" s="13" t="str">
        <f t="shared" ref="H12:H14" si="2">IF(LEN(A12) &gt;0,"Path","-")</f>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fuelsupplierattachments</v>
      </c>
      <c r="R12" s="4" t="str">
        <f>IF(LEN(Table23[[#This Row],[!tag]]) &gt;0,Table23[[#This Row],[!tag]],"rg:None")</f>
        <v>FuelSupplierAttachment</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IF(LEN(Table23[[#This Row],[!permission]]) &gt;0,Table23[[#This Row],[!permission]],"rg:None")</f>
        <v>rg:None</v>
      </c>
    </row>
    <row r="13" spans="1:22" x14ac:dyDescent="0.3">
      <c r="A13" s="44" t="s">
        <v>51</v>
      </c>
      <c r="B13" s="72" t="s">
        <v>311</v>
      </c>
      <c r="C13" s="72" t="s">
        <v>185</v>
      </c>
      <c r="D13" s="4"/>
      <c r="E13" s="32"/>
      <c r="F13" s="11"/>
      <c r="G13" s="12"/>
      <c r="H13" s="13" t="str">
        <f t="shared" si="2"/>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fuelsupplierattachmenttags</v>
      </c>
      <c r="R13" s="4" t="str">
        <f>IF(LEN(Table23[[#This Row],[!tag]]) &gt;0,Table23[[#This Row],[!tag]],"rg:None")</f>
        <v>FuelSupplierAttachmentTag</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3">
      <c r="A14" s="88" t="s">
        <v>51</v>
      </c>
      <c r="B14" s="44" t="s">
        <v>151</v>
      </c>
      <c r="C14" s="48" t="s">
        <v>149</v>
      </c>
      <c r="D14" s="4"/>
      <c r="E14" s="32"/>
      <c r="F14" s="11"/>
      <c r="G14" s="12"/>
      <c r="H14" s="13" t="str">
        <f t="shared" si="2"/>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fuelsupplierhistories</v>
      </c>
      <c r="R14" s="4" t="str">
        <f>IF(LEN(Table23[[#This Row],[!tag]]) &gt;0,Table23[[#This Row],[!tag]],"rg:None")</f>
        <v>FuelSupplierHistory</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3">
      <c r="A15" s="29" t="s">
        <v>51</v>
      </c>
      <c r="B15" s="43" t="s">
        <v>152</v>
      </c>
      <c r="C15" s="43" t="s">
        <v>143</v>
      </c>
      <c r="D15" s="3"/>
      <c r="E15" s="3"/>
      <c r="F15" s="3"/>
      <c r="G15" s="3"/>
      <c r="H15" s="8" t="str">
        <f>IF(LEN(A15) &gt;0,"Path","-")</f>
        <v>Path</v>
      </c>
      <c r="I15" s="5" t="str">
        <f>IF(LEN(Table23[[#This Row],[!type]])&gt;0,IF(Table23[[#This Row],[!type]]=I$1,"1","rg:None"),"-")</f>
        <v>1</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Row],[!type]])&gt;0,IF(Table23[[#This Row],[!type]]=P$1,"1","rg:None"),"-")</f>
        <v>rg:None</v>
      </c>
      <c r="Q15" s="5" t="str">
        <f>IF(LEN(Table23[[#This Row],[!path]]) &gt;0,Table23[[#This Row],[!path]],"rg:None")</f>
        <v>fuelsuppliercontacts</v>
      </c>
      <c r="R15" s="5" t="str">
        <f>IF(LEN(Table23[[#This Row],[!tag]]) &gt;0,Table23[[#This Row],[!tag]],"rg:None")</f>
        <v>FuelSupplierContact</v>
      </c>
      <c r="S15" s="5" t="str">
        <f>IF(LEN(Table23[[#This Row],[!paramDef]]) &gt;0,Table23[[#This Row],[!paramDef]],"rg:None")</f>
        <v>rg:None</v>
      </c>
      <c r="T15" s="5" t="str">
        <f>IF(LEN(Table23[[#This Row],[!respDef]]) &gt;0,Table23[[#This Row],[!respDef]],"rg:None")</f>
        <v>rg:None</v>
      </c>
      <c r="U15" s="5" t="str">
        <f>IF(LEN(Table23[[#This Row],[!Description]]) &gt;0,Table23[[#This Row],[!Description]],"rg:None")</f>
        <v>rg:None</v>
      </c>
      <c r="V15" s="4" t="str">
        <f>IF(LEN(Table23[[#This Row],[!permission]]) &gt;0,Table23[[#This Row],[!permission]],"rg:None")</f>
        <v>rg:None</v>
      </c>
    </row>
    <row r="16" spans="1:22" x14ac:dyDescent="0.3">
      <c r="A16" s="72" t="s">
        <v>51</v>
      </c>
      <c r="B16" s="72" t="s">
        <v>310</v>
      </c>
      <c r="C16" s="71" t="s">
        <v>175</v>
      </c>
      <c r="D16" s="4"/>
      <c r="E16" s="32"/>
      <c r="F16" s="11"/>
      <c r="G16" s="12"/>
      <c r="H16" s="13" t="str">
        <f>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fuelsuppliercontactroles</v>
      </c>
      <c r="R16" s="4" t="str">
        <f>IF(LEN(Table23[[#This Row],[!tag]]) &gt;0,Table23[[#This Row],[!tag]],"rg:None")</f>
        <v>FuelSupplierContactRole</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row r="17" spans="1:22" x14ac:dyDescent="0.3">
      <c r="A17" s="29" t="s">
        <v>51</v>
      </c>
      <c r="B17" s="10" t="s">
        <v>72</v>
      </c>
      <c r="C17" s="3" t="s">
        <v>26</v>
      </c>
      <c r="D17" s="3"/>
      <c r="E17" s="3"/>
      <c r="F17" s="3"/>
      <c r="G17" s="3"/>
      <c r="H17" s="8" t="str">
        <f>IF(LEN(A17) &gt;0,"Path","-")</f>
        <v>Path</v>
      </c>
      <c r="I17" s="5" t="str">
        <f>IF(LEN(Table23[[#This Row],[!type]])&gt;0,IF(Table23[[#This Row],[!type]]=I$1,"1","rg:None"),"-")</f>
        <v>1</v>
      </c>
      <c r="J17" s="5" t="str">
        <f>IF(LEN(Table23[[#This Row],[!type]])&gt;0,IF(Table23[[#This Row],[!type]]=J$1,"1","rg:None"),"-")</f>
        <v>rg:None</v>
      </c>
      <c r="K17" s="5" t="str">
        <f>IF(LEN(Table23[[#This Row],[!type]])&gt;0,IF(Table23[[#This Row],[!type]]=K$1,"1","rg:None"),"-")</f>
        <v>rg:None</v>
      </c>
      <c r="L17" s="5" t="str">
        <f>IF(LEN(Table23[[#This Row],[!type]])&gt;0,IF(Table23[[#This Row],[!type]]=L$1,"1","rg:None"),"-")</f>
        <v>rg:None</v>
      </c>
      <c r="M17" s="5" t="str">
        <f>IF(LEN(Table23[[#This Row],[!type]])&gt;0,IF(Table23[[#This Row],[!type]]=M$1,"1","rg:None"),"-")</f>
        <v>rg:None</v>
      </c>
      <c r="N17" s="5" t="str">
        <f>IF(LEN(Table23[[#This Row],[!type]])&gt;0,IF(Table23[[#This Row],[!type]]=N$1,"1","rg:None"),"-")</f>
        <v>rg:None</v>
      </c>
      <c r="O17" s="5" t="str">
        <f>IF(LEN(Table23[[#This Row],[!type]])&gt;0,IF(Table23[[#This Row],[!type]]=O$1,"1","rg:None"),"-")</f>
        <v>rg:None</v>
      </c>
      <c r="P17" s="5" t="str">
        <f>IF(LEN(Table23[[#This Row],[!type]])&gt;0,IF(Table23[[#This Row],[!type]]=P$1,"1","rg:None"),"-")</f>
        <v>rg:None</v>
      </c>
      <c r="Q17" s="5" t="str">
        <f>IF(LEN(Table23[[#This Row],[!path]]) &gt;0,Table23[[#This Row],[!path]],"rg:None")</f>
        <v>notifications</v>
      </c>
      <c r="R17" s="5" t="str">
        <f>IF(LEN(Table23[[#This Row],[!tag]]) &gt;0,Table23[[#This Row],[!tag]],"rg:None")</f>
        <v>Notification</v>
      </c>
      <c r="S17" s="5" t="str">
        <f>IF(LEN(Table23[[#This Row],[!paramDef]]) &gt;0,Table23[[#This Row],[!paramDef]],"rg:None")</f>
        <v>rg:None</v>
      </c>
      <c r="T17" s="5" t="str">
        <f>IF(LEN(Table23[[#This Row],[!respDef]]) &gt;0,Table23[[#This Row],[!respDef]],"rg:None")</f>
        <v>rg:None</v>
      </c>
      <c r="U17" s="5" t="str">
        <f>IF(LEN(Table23[[#This Row],[!Description]]) &gt;0,Table23[[#This Row],[!Description]],"rg:None")</f>
        <v>rg:None</v>
      </c>
      <c r="V17" s="4" t="str">
        <f>IF(LEN(Table23[[#This Row],[!permission]]) &gt;0,Table23[[#This Row],[!permission]],"rg:None")</f>
        <v>rg:None</v>
      </c>
    </row>
    <row r="18" spans="1:22" x14ac:dyDescent="0.3">
      <c r="A18" s="29" t="s">
        <v>51</v>
      </c>
      <c r="B18" s="10" t="s">
        <v>71</v>
      </c>
      <c r="C18" s="3" t="s">
        <v>27</v>
      </c>
      <c r="D18" s="3"/>
      <c r="E18" s="3"/>
      <c r="F18" s="3"/>
      <c r="G18" s="3"/>
      <c r="H18" s="8" t="str">
        <f>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notificationevents</v>
      </c>
      <c r="R18" s="5" t="str">
        <f>IF(LEN(Table23[[#This Row],[!tag]]) &gt;0,Table23[[#This Row],[!tag]],"rg:None")</f>
        <v>NotificationEvent</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3">
      <c r="A19" s="72" t="s">
        <v>51</v>
      </c>
      <c r="B19" s="72" t="s">
        <v>312</v>
      </c>
      <c r="C19" s="71" t="s">
        <v>297</v>
      </c>
      <c r="D19" s="4"/>
      <c r="E19" s="32"/>
      <c r="F19" s="11"/>
      <c r="G19" s="12"/>
      <c r="H19" s="13" t="str">
        <f>IF(LEN(A19) &gt;0,"Path","-")</f>
        <v>Path</v>
      </c>
      <c r="I19" s="4" t="str">
        <f>IF(LEN(Table23[[#This Row],[!type]])&gt;0,IF(Table23[[#This Row],[!type]]=I$1,"1","rg:None"),"-")</f>
        <v>1</v>
      </c>
      <c r="J19" s="4" t="str">
        <f>IF(LEN(Table23[[#This Row],[!type]])&gt;0,IF(Table23[[#This Row],[!type]]=J$1,"1","rg:None"),"-")</f>
        <v>rg:None</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notificationtypes</v>
      </c>
      <c r="R19" s="4" t="str">
        <f>IF(LEN(Table23[[#This Row],[!tag]]) &gt;0,Table23[[#This Row],[!tag]],"rg:None")</f>
        <v>NotificationType</v>
      </c>
      <c r="S19" s="4" t="str">
        <f>IF(LEN(Table23[[#This Row],[!paramDef]]) &gt;0,Table23[[#This Row],[!paramDef]],"rg:None")</f>
        <v>rg:None</v>
      </c>
      <c r="T19" s="4" t="str">
        <f>IF(LEN(Table23[[#This Row],[!respDef]]) &gt;0,Table23[[#This Row],[!respDef]],"rg:None")</f>
        <v>rg:None</v>
      </c>
      <c r="U19" s="4" t="str">
        <f>IF(LEN(Table23[[#This Row],[!Description]]) &gt;0,Table23[[#This Row],[!Description]],"rg:None")</f>
        <v>rg:None</v>
      </c>
      <c r="V19" s="4" t="str">
        <f>IF(LEN(Table23[[#This Row],[!permission]]) &gt;0,Table23[[#This Row],[!permission]],"rg:None")</f>
        <v>rg:None</v>
      </c>
    </row>
    <row r="20" spans="1:22" x14ac:dyDescent="0.3">
      <c r="A20" s="29" t="s">
        <v>51</v>
      </c>
      <c r="B20" s="10" t="s">
        <v>73</v>
      </c>
      <c r="C20" s="3" t="s">
        <v>36</v>
      </c>
      <c r="D20" s="80" t="s">
        <v>318</v>
      </c>
      <c r="E20" s="22" t="s">
        <v>106</v>
      </c>
      <c r="F20" s="3"/>
      <c r="G20" s="3"/>
      <c r="H20" s="8" t="str">
        <f t="shared" ref="H20:H21" si="3">IF(LEN(A20) &gt;0,"Path","-")</f>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IF(LEN(Table23[[#This Row],[!permission]]) &gt;0,Table23[[#This Row],[!permission]],"rg:None")</f>
        <v>ADMIN</v>
      </c>
    </row>
    <row r="21" spans="1:22" x14ac:dyDescent="0.3">
      <c r="A21" s="29" t="s">
        <v>51</v>
      </c>
      <c r="B21" s="10" t="s">
        <v>74</v>
      </c>
      <c r="C21" s="3" t="s">
        <v>34</v>
      </c>
      <c r="D21" s="80" t="s">
        <v>319</v>
      </c>
      <c r="E21" s="22" t="s">
        <v>106</v>
      </c>
      <c r="F21" s="3"/>
      <c r="G21" s="3"/>
      <c r="H21" s="8" t="str">
        <f t="shared" si="3"/>
        <v>Path</v>
      </c>
      <c r="I21" s="5" t="str">
        <f>IF(LEN(Table23[[#This Row],[!type]])&gt;0,IF(Table23[[#This Row],[!type]]=I$1,"1","rg:None"),"-")</f>
        <v>1</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Row],[!type]])&gt;0,IF(Table23[[#This Row],[!type]]=P$1,"1","rg:None"),"-")</f>
        <v>rg:None</v>
      </c>
      <c r="Q21" s="5" t="str">
        <f>IF(LEN(Table23[[#This Row],[!path]]) &gt;0,Table23[[#This Row],[!path]],"rg:None")</f>
        <v>roles</v>
      </c>
      <c r="R21" s="5" t="str">
        <f>IF(LEN(Table23[[#This Row],[!tag]]) &gt;0,Table23[[#This Row],[!tag]],"rg:None")</f>
        <v>Role</v>
      </c>
      <c r="S21" s="5" t="str">
        <f>IF(LEN(Table23[[#This Row],[!paramDef]]) &gt;0,Table23[[#This Row],[!paramDef]],"rg:None")</f>
        <v>RoleViewModel</v>
      </c>
      <c r="T21" s="5" t="str">
        <f>IF(LEN(Table23[[#This Row],[!respDef]]) &gt;0,Table23[[#This Row],[!respDef]],"rg:None")</f>
        <v>rg:None</v>
      </c>
      <c r="U21" s="5" t="str">
        <f>IF(LEN(Table23[[#This Row],[!Description]]) &gt;0,Table23[[#This Row],[!Description]],"rg:None")</f>
        <v>rg:None</v>
      </c>
      <c r="V21" s="4" t="str">
        <f>IF(LEN(Table23[[#This Row],[!permission]]) &gt;0,Table23[[#This Row],[!permission]],"rg:None")</f>
        <v>ADMIN</v>
      </c>
    </row>
    <row r="22" spans="1:22" x14ac:dyDescent="0.3">
      <c r="A22" s="36" t="s">
        <v>51</v>
      </c>
      <c r="B22" s="36" t="s">
        <v>132</v>
      </c>
      <c r="C22" s="37" t="s">
        <v>35</v>
      </c>
      <c r="D22" s="4"/>
      <c r="E22" s="38" t="s">
        <v>106</v>
      </c>
      <c r="F22" s="11"/>
      <c r="G22" s="12"/>
      <c r="H22" s="13" t="str">
        <f>IF(LEN(A22) &gt;0,"Path","-")</f>
        <v>Path</v>
      </c>
      <c r="I22" s="4" t="str">
        <f>IF(LEN(Table23[[#This Row],[!type]])&gt;0,IF(Table23[[#This Row],[!type]]=I$1,"1","rg:None"),"-")</f>
        <v>1</v>
      </c>
      <c r="J22" s="4" t="str">
        <f>IF(LEN(Table23[[#This Row],[!type]])&gt;0,IF(Table23[[#This Row],[!type]]=J$1,"1","rg:None"),"-")</f>
        <v>rg:None</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Row],[!type]])&gt;0,IF(Table23[[#This Row],[!type]]=P$1,"1","rg:None"),"-")</f>
        <v>rg:None</v>
      </c>
      <c r="Q22" s="4" t="str">
        <f>IF(LEN(Table23[[#This Row],[!path]]) &gt;0,Table23[[#This Row],[!path]],"rg:None")</f>
        <v>rolepermissions</v>
      </c>
      <c r="R22" s="4" t="str">
        <f>IF(LEN(Table23[[#This Row],[!tag]]) &gt;0,Table23[[#This Row],[!tag]],"rg:None")</f>
        <v>RolePermission</v>
      </c>
      <c r="S22" s="4" t="str">
        <f>IF(LEN(Table23[[#This Row],[!paramDef]]) &gt;0,Table23[[#This Row],[!paramDef]],"rg:None")</f>
        <v>rg:None</v>
      </c>
      <c r="T22" s="4" t="str">
        <f>IF(LEN(Table23[[#This Row],[!respDef]]) &gt;0,Table23[[#This Row],[!respDef]],"rg:None")</f>
        <v>rg:None</v>
      </c>
      <c r="U22" s="4" t="str">
        <f>IF(LEN(Table23[[#This Row],[!Description]]) &gt;0,Table23[[#This Row],[!Description]],"rg:None")</f>
        <v>rg:None</v>
      </c>
      <c r="V22" s="4" t="str">
        <f>IF(LEN(Table23[[#This Row],[!permission]]) &gt;0,Table23[[#This Row],[!permission]],"rg:None")</f>
        <v>ADMIN</v>
      </c>
    </row>
    <row r="23" spans="1:22" x14ac:dyDescent="0.3">
      <c r="A23" s="39" t="s">
        <v>51</v>
      </c>
      <c r="B23" s="39" t="s">
        <v>133</v>
      </c>
      <c r="C23" s="40" t="s">
        <v>0</v>
      </c>
      <c r="D23" s="4"/>
      <c r="E23" s="41" t="s">
        <v>106</v>
      </c>
      <c r="F23" s="11"/>
      <c r="G23" s="12"/>
      <c r="H23" s="13" t="str">
        <f>IF(LEN(A23) &gt;0,"Path","-")</f>
        <v>Path</v>
      </c>
      <c r="I23" s="4" t="str">
        <f>IF(LEN(Table23[[#This Row],[!type]])&gt;0,IF(Table23[[#This Row],[!type]]=I$1,"1","rg:None"),"-")</f>
        <v>1</v>
      </c>
      <c r="J23" s="4" t="str">
        <f>IF(LEN(Table23[[#This Row],[!type]])&gt;0,IF(Table23[[#This Row],[!type]]=J$1,"1","rg:None"),"-")</f>
        <v>rg:None</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users</v>
      </c>
      <c r="R23" s="4" t="str">
        <f>IF(LEN(Table23[[#This Row],[!tag]]) &gt;0,Table23[[#This Row],[!tag]],"rg:None")</f>
        <v>User</v>
      </c>
      <c r="S23" s="4" t="str">
        <f>IF(LEN(Table23[[#This Row],[!paramDef]]) &gt;0,Table23[[#This Row],[!paramDef]],"rg:None")</f>
        <v>rg:None</v>
      </c>
      <c r="T23" s="4" t="str">
        <f>IF(LEN(Table23[[#This Row],[!respDef]]) &gt;0,Table23[[#This Row],[!respDef]],"rg:None")</f>
        <v>rg:None</v>
      </c>
      <c r="U23" s="4" t="str">
        <f>IF(LEN(Table23[[#This Row],[!Description]]) &gt;0,Table23[[#This Row],[!Description]],"rg:None")</f>
        <v>rg:None</v>
      </c>
      <c r="V23" s="4" t="str">
        <f>IF(LEN(Table23[[#This Row],[!permission]]) &gt;0,Table23[[#This Row],[!permission]],"rg:None")</f>
        <v>ADMIN</v>
      </c>
    </row>
    <row r="24" spans="1:22" x14ac:dyDescent="0.3">
      <c r="A24" s="73" t="s">
        <v>51</v>
      </c>
      <c r="B24" s="73" t="s">
        <v>316</v>
      </c>
      <c r="C24" s="77" t="s">
        <v>313</v>
      </c>
      <c r="D24" s="4"/>
      <c r="E24" s="75" t="s">
        <v>106</v>
      </c>
      <c r="F24" s="11"/>
      <c r="G24" s="12"/>
      <c r="H24" s="13" t="str">
        <f>IF(LEN(A24) &gt;0,"Path","-")</f>
        <v>Path</v>
      </c>
      <c r="I24" s="4" t="str">
        <f>IF(LEN(Table23[[#This Row],[!type]])&gt;0,IF(Table23[[#This Row],[!type]]=I$1,"1","rg:None"),"-")</f>
        <v>1</v>
      </c>
      <c r="J24" s="4" t="str">
        <f>IF(LEN(Table23[[#This Row],[!type]])&gt;0,IF(Table23[[#This Row],[!type]]=J$1,"1","rg:None"),"-")</f>
        <v>rg:None</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Row],[!type]])&gt;0,IF(Table23[[#This Row],[!type]]=P$1,"1","rg:None"),"-")</f>
        <v>rg:None</v>
      </c>
      <c r="Q24" s="4" t="str">
        <f>IF(LEN(Table23[[#This Row],[!path]]) &gt;0,Table23[[#This Row],[!path]],"rg:None")</f>
        <v>userroles</v>
      </c>
      <c r="R24" s="4" t="str">
        <f>IF(LEN(Table23[[#This Row],[!tag]]) &gt;0,Table23[[#This Row],[!tag]],"rg:None")</f>
        <v>UserRole</v>
      </c>
      <c r="S24" s="4" t="str">
        <f>IF(LEN(Table23[[#This Row],[!paramDef]]) &gt;0,Table23[[#This Row],[!paramDef]],"rg:None")</f>
        <v>rg:None</v>
      </c>
      <c r="T24" s="4" t="str">
        <f>IF(LEN(Table23[[#This Row],[!respDef]]) &gt;0,Table23[[#This Row],[!respDef]],"rg:None")</f>
        <v>rg:None</v>
      </c>
      <c r="U24" s="4" t="str">
        <f>IF(LEN(Table23[[#This Row],[!Description]]) &gt;0,Table23[[#This Row],[!Description]],"rg:None")</f>
        <v>rg:None</v>
      </c>
      <c r="V24"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2"/>
  <sheetViews>
    <sheetView workbookViewId="0"/>
  </sheetViews>
  <sheetFormatPr defaultRowHeight="15.6" x14ac:dyDescent="0.3"/>
  <cols>
    <col min="2" max="2" width="23" bestFit="1" customWidth="1"/>
  </cols>
  <sheetData>
    <row r="1" spans="1:2" x14ac:dyDescent="0.3">
      <c r="A1" t="s">
        <v>41</v>
      </c>
      <c r="B1" t="s">
        <v>44</v>
      </c>
    </row>
    <row r="2" spans="1:2" x14ac:dyDescent="0.3">
      <c r="A2" t="s">
        <v>46</v>
      </c>
      <c r="B2"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2"/>
  <sheetViews>
    <sheetView workbookViewId="0"/>
  </sheetViews>
  <sheetFormatPr defaultRowHeight="15.6" x14ac:dyDescent="0.3"/>
  <cols>
    <col min="2" max="2" width="28.3984375" bestFit="1" customWidth="1"/>
  </cols>
  <sheetData>
    <row r="1" spans="1:2" x14ac:dyDescent="0.3">
      <c r="A1" s="7" t="s">
        <v>41</v>
      </c>
      <c r="B1" s="7" t="s">
        <v>44</v>
      </c>
    </row>
    <row r="2" spans="1:2" x14ac:dyDescent="0.3">
      <c r="A2" t="s">
        <v>46</v>
      </c>
      <c r="B2" t="s">
        <v>75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2017-09-29T19:41:30Z</dcterms:modified>
</cp:coreProperties>
</file>