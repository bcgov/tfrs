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71" tabRatio="765" firstSheet="8" activeTab="16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Type.csv" sheetId="63" r:id="rId5"/>
    <sheet name="FuelSupplierActionsType.csv" sheetId="56" r:id="rId6"/>
    <sheet name="FuelSupplierContactRole.csv" sheetId="60" r:id="rId7"/>
    <sheet name="FuelSupplierBalance" sheetId="57" r:id="rId8"/>
    <sheet name="NotificationType.csv" sheetId="64" r:id="rId9"/>
    <sheet name="OpportunityStatus.csv" sheetId="65" r:id="rId10"/>
    <sheet name="FuelSupplierContact.csv" sheetId="59" r:id="rId11"/>
    <sheet name="CreditTradeStatus.csv" sheetId="53" r:id="rId12"/>
    <sheet name="CreditTradeType.csv" sheetId="54" r:id="rId13"/>
    <sheet name="permissions.csv" sheetId="29" r:id="rId14"/>
    <sheet name="roles.csv" sheetId="30" r:id="rId15"/>
    <sheet name="rolepermission.csv" sheetId="31" r:id="rId16"/>
    <sheet name="users.csv" sheetId="36" r:id="rId17"/>
    <sheet name="userRole.csv" sheetId="34" r:id="rId18"/>
    <sheet name="CreditTrade" sheetId="51" r:id="rId19"/>
    <sheet name="CreditTradeHistory" sheetId="52" r:id="rId20"/>
    <sheet name="Names" sheetId="28" r:id="rId21"/>
  </sheets>
  <functionGroups builtInGroupCount="18"/>
  <definedNames>
    <definedName name="_xlnm._FilterDatabase" localSheetId="0" hidden="1">Tables!$A$1:$B$26</definedName>
    <definedName name="_xlnm._FilterDatabase" localSheetId="16" hidden="1">users.csv!$A$1:$L$40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4" l="1"/>
  <c r="F4" i="34"/>
  <c r="F5" i="34"/>
  <c r="F6" i="34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F2" i="34"/>
  <c r="I3" i="36"/>
  <c r="I4" i="36"/>
  <c r="I5" i="36"/>
  <c r="I6" i="36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I2" i="36"/>
  <c r="F3" i="3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F2" i="31"/>
  <c r="D3" i="30"/>
  <c r="D4" i="30" s="1"/>
  <c r="D5" i="30" s="1"/>
  <c r="D6" i="30" s="1"/>
  <c r="D2" i="30"/>
  <c r="E3" i="29"/>
  <c r="E4" i="29" s="1"/>
  <c r="E5" i="29" s="1"/>
  <c r="E6" i="29" s="1"/>
  <c r="E7" i="29" s="1"/>
  <c r="E8" i="29" s="1"/>
  <c r="E9" i="29" s="1"/>
  <c r="E10" i="29" s="1"/>
  <c r="E11" i="29" s="1"/>
  <c r="E12" i="29" s="1"/>
  <c r="E2" i="29"/>
  <c r="F3" i="65"/>
  <c r="F4" i="65"/>
  <c r="F5" i="65"/>
  <c r="F2" i="65"/>
  <c r="F3" i="54"/>
  <c r="F4" i="54"/>
  <c r="F5" i="54"/>
  <c r="F6" i="54"/>
  <c r="F2" i="54"/>
  <c r="B3" i="54"/>
  <c r="B4" i="54"/>
  <c r="B5" i="54"/>
  <c r="B6" i="54"/>
  <c r="B2" i="54"/>
  <c r="B3" i="53"/>
  <c r="B4" i="53"/>
  <c r="B5" i="53"/>
  <c r="B6" i="53"/>
  <c r="B7" i="53" s="1"/>
  <c r="B8" i="53" s="1"/>
  <c r="B9" i="53" s="1"/>
  <c r="B10" i="53" s="1"/>
  <c r="B2" i="53"/>
  <c r="B3" i="59"/>
  <c r="B4" i="59"/>
  <c r="B5" i="59" s="1"/>
  <c r="B6" i="59" s="1"/>
  <c r="B7" i="59" s="1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" i="59"/>
  <c r="B3" i="65"/>
  <c r="B4" i="65"/>
  <c r="B5" i="65" s="1"/>
  <c r="B2" i="65"/>
  <c r="B2" i="64"/>
  <c r="B2" i="57"/>
  <c r="B2" i="60"/>
  <c r="B3" i="60" s="1"/>
  <c r="B3" i="56"/>
  <c r="B4" i="56" s="1"/>
  <c r="B2" i="56"/>
  <c r="F3" i="63"/>
  <c r="F4" i="63"/>
  <c r="F2" i="63"/>
  <c r="B3" i="63"/>
  <c r="B4" i="63" s="1"/>
  <c r="B2" i="63"/>
  <c r="B3" i="62"/>
  <c r="B2" i="62"/>
  <c r="B3" i="58"/>
  <c r="B4" i="58"/>
  <c r="B5" i="58"/>
  <c r="B6" i="58"/>
  <c r="B7" i="58" s="1"/>
  <c r="B8" i="58" s="1"/>
  <c r="B9" i="58" s="1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" i="58"/>
  <c r="B3" i="55"/>
  <c r="B4" i="55"/>
  <c r="B5" i="55" s="1"/>
  <c r="B6" i="55" s="1"/>
  <c r="B7" i="55" s="1"/>
  <c r="B8" i="55" s="1"/>
  <c r="B9" i="55" s="1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" i="55"/>
  <c r="E36" i="34" l="1"/>
  <c r="E37" i="34"/>
  <c r="E38" i="34"/>
  <c r="E39" i="34"/>
  <c r="E40" i="34"/>
  <c r="E41" i="34"/>
  <c r="E42" i="34"/>
  <c r="E43" i="34"/>
  <c r="D41" i="34"/>
  <c r="D42" i="34"/>
  <c r="D43" i="34"/>
  <c r="D2" i="34"/>
  <c r="E5" i="31"/>
  <c r="E9" i="31"/>
  <c r="E12" i="31"/>
  <c r="E15" i="31"/>
  <c r="E2" i="31"/>
  <c r="D3" i="31"/>
  <c r="D4" i="31"/>
  <c r="D2" i="31"/>
  <c r="B3" i="34" l="1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2" i="34"/>
  <c r="E3" i="54"/>
  <c r="E4" i="54"/>
  <c r="E5" i="54"/>
  <c r="E6" i="54"/>
  <c r="E2" i="54"/>
  <c r="E3" i="53"/>
  <c r="E4" i="53"/>
  <c r="E5" i="53"/>
  <c r="E6" i="53"/>
  <c r="E7" i="53"/>
  <c r="E8" i="53"/>
  <c r="E9" i="53"/>
  <c r="E10" i="53"/>
  <c r="E2" i="53"/>
  <c r="E3" i="65"/>
  <c r="E4" i="65"/>
  <c r="E5" i="65"/>
  <c r="E2" i="65"/>
  <c r="E2" i="64"/>
  <c r="E3" i="56"/>
  <c r="E4" i="56"/>
  <c r="E2" i="56"/>
  <c r="E3" i="63"/>
  <c r="E4" i="63"/>
  <c r="E2" i="63"/>
  <c r="E3" i="62"/>
  <c r="E2" i="62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" i="58"/>
  <c r="K3" i="55"/>
  <c r="K4" i="55"/>
  <c r="K5" i="55"/>
  <c r="K6" i="55"/>
  <c r="K7" i="55"/>
  <c r="K8" i="55"/>
  <c r="K9" i="55"/>
  <c r="K10" i="55"/>
  <c r="K11" i="55"/>
  <c r="K12" i="55"/>
  <c r="K13" i="55"/>
  <c r="K14" i="55"/>
  <c r="K15" i="55"/>
  <c r="K16" i="55"/>
  <c r="K17" i="55"/>
  <c r="K18" i="55"/>
  <c r="K19" i="55"/>
  <c r="K20" i="55"/>
  <c r="K21" i="55"/>
  <c r="K22" i="55"/>
  <c r="K23" i="55"/>
  <c r="K24" i="55"/>
  <c r="K25" i="55"/>
  <c r="K2" i="55"/>
  <c r="A41" i="34"/>
  <c r="A42" i="34"/>
  <c r="A43" i="34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L3" i="59" l="1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K3" i="59"/>
  <c r="K4" i="59"/>
  <c r="K5" i="59"/>
  <c r="K6" i="59"/>
  <c r="K7" i="59"/>
  <c r="K8" i="59"/>
  <c r="K9" i="59"/>
  <c r="K10" i="59"/>
  <c r="K11" i="59"/>
  <c r="K12" i="59"/>
  <c r="K13" i="59"/>
  <c r="K14" i="59"/>
  <c r="K15" i="59"/>
  <c r="K16" i="59"/>
  <c r="K17" i="59"/>
  <c r="K18" i="59"/>
  <c r="K19" i="59"/>
  <c r="K20" i="59"/>
  <c r="K21" i="59"/>
  <c r="K22" i="59"/>
  <c r="K23" i="59"/>
  <c r="K24" i="59"/>
  <c r="K25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L2" i="59"/>
  <c r="K2" i="59"/>
  <c r="F2" i="59"/>
  <c r="H2" i="59"/>
  <c r="G2" i="59"/>
  <c r="C2" i="59"/>
  <c r="H10" i="53" l="1"/>
  <c r="H2" i="53" l="1"/>
  <c r="H6" i="53"/>
  <c r="H7" i="53"/>
  <c r="H5" i="53"/>
  <c r="H9" i="53"/>
  <c r="H4" i="53"/>
  <c r="H8" i="53"/>
  <c r="H3" i="53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H3" i="54"/>
  <c r="H2" i="54"/>
  <c r="H5" i="54"/>
  <c r="H6" i="54"/>
  <c r="H4" i="54"/>
  <c r="H2" i="65"/>
  <c r="F2" i="64"/>
  <c r="H2" i="64"/>
  <c r="I2" i="57"/>
  <c r="F4" i="56"/>
  <c r="F3" i="56"/>
  <c r="F2" i="56"/>
  <c r="H2" i="56"/>
  <c r="J16" i="55" s="1"/>
  <c r="H2" i="63"/>
  <c r="H16" i="55" s="1"/>
  <c r="F3" i="62"/>
  <c r="F2" i="62"/>
  <c r="H2" i="62"/>
  <c r="F16" i="55" s="1"/>
  <c r="H3" i="62"/>
  <c r="F25" i="55" s="1"/>
  <c r="I2" i="54" l="1"/>
  <c r="I3" i="54"/>
  <c r="N2" i="59"/>
  <c r="D2" i="36"/>
  <c r="E2" i="60"/>
  <c r="J3" i="55"/>
  <c r="J2" i="55"/>
  <c r="J23" i="55"/>
  <c r="J11" i="55"/>
  <c r="J15" i="55"/>
  <c r="J10" i="55"/>
  <c r="H3" i="56"/>
  <c r="J14" i="55"/>
  <c r="J6" i="55"/>
  <c r="J22" i="55"/>
  <c r="J18" i="55"/>
  <c r="J13" i="55"/>
  <c r="J9" i="55"/>
  <c r="J5" i="55"/>
  <c r="J21" i="55"/>
  <c r="J17" i="55"/>
  <c r="J12" i="55"/>
  <c r="J4" i="55"/>
  <c r="J24" i="55"/>
  <c r="H13" i="55"/>
  <c r="H5" i="55"/>
  <c r="H9" i="55"/>
  <c r="H12" i="55"/>
  <c r="H8" i="55"/>
  <c r="H4" i="55"/>
  <c r="H22" i="55"/>
  <c r="H18" i="55"/>
  <c r="H11" i="55"/>
  <c r="H7" i="55"/>
  <c r="H3" i="55"/>
  <c r="H25" i="55"/>
  <c r="H21" i="55"/>
  <c r="H17" i="55"/>
  <c r="H2" i="55"/>
  <c r="H24" i="55"/>
  <c r="H20" i="55"/>
  <c r="F12" i="55"/>
  <c r="F4" i="55"/>
  <c r="F19" i="55"/>
  <c r="F7" i="55"/>
  <c r="F22" i="55"/>
  <c r="F11" i="55"/>
  <c r="F3" i="55"/>
  <c r="F18" i="55"/>
  <c r="F8" i="55"/>
  <c r="F23" i="55"/>
  <c r="F15" i="55"/>
  <c r="F14" i="55"/>
  <c r="F10" i="55"/>
  <c r="F6" i="55"/>
  <c r="F21" i="55"/>
  <c r="F17" i="55"/>
  <c r="F2" i="55"/>
  <c r="F13" i="55"/>
  <c r="F9" i="55"/>
  <c r="F5" i="55"/>
  <c r="F24" i="55"/>
  <c r="F20" i="55"/>
  <c r="L3" i="55"/>
  <c r="L2" i="55"/>
  <c r="E3" i="60"/>
  <c r="L3" i="58"/>
  <c r="L2" i="58"/>
  <c r="I4" i="54"/>
  <c r="N3" i="59" l="1"/>
  <c r="D3" i="36"/>
  <c r="F2" i="36"/>
  <c r="H2" i="36"/>
  <c r="E2" i="36"/>
  <c r="K2" i="36"/>
  <c r="L2" i="36" s="1"/>
  <c r="H3" i="65"/>
  <c r="J20" i="55"/>
  <c r="J19" i="55"/>
  <c r="J7" i="55"/>
  <c r="H4" i="56"/>
  <c r="J25" i="55" s="1"/>
  <c r="J8" i="55"/>
  <c r="H4" i="63"/>
  <c r="H3" i="63"/>
  <c r="L27" i="36"/>
  <c r="L26" i="36"/>
  <c r="D2" i="59"/>
  <c r="C2" i="58"/>
  <c r="D3" i="59"/>
  <c r="C3" i="58"/>
  <c r="L4" i="55"/>
  <c r="L4" i="58"/>
  <c r="I5" i="54"/>
  <c r="I6" i="54"/>
  <c r="H3" i="36" l="1"/>
  <c r="E3" i="36"/>
  <c r="F3" i="36"/>
  <c r="K3" i="36"/>
  <c r="L3" i="36" s="1"/>
  <c r="N4" i="59"/>
  <c r="D4" i="36"/>
  <c r="H5" i="65"/>
  <c r="H4" i="65"/>
  <c r="H6" i="55"/>
  <c r="H10" i="55"/>
  <c r="H14" i="55"/>
  <c r="H15" i="55"/>
  <c r="H19" i="55"/>
  <c r="H23" i="55"/>
  <c r="D4" i="59"/>
  <c r="C4" i="58"/>
  <c r="L5" i="55"/>
  <c r="L5" i="58"/>
  <c r="D3" i="34" l="1"/>
  <c r="D5" i="36"/>
  <c r="N5" i="59"/>
  <c r="F4" i="36"/>
  <c r="H4" i="36"/>
  <c r="E4" i="36"/>
  <c r="K4" i="36"/>
  <c r="L4" i="36" s="1"/>
  <c r="L6" i="55"/>
  <c r="D5" i="59"/>
  <c r="C5" i="58"/>
  <c r="B2" i="36"/>
  <c r="E2" i="59"/>
  <c r="L6" i="58"/>
  <c r="D4" i="34" l="1"/>
  <c r="D10" i="31"/>
  <c r="D9" i="31"/>
  <c r="D11" i="31"/>
  <c r="E5" i="36"/>
  <c r="F5" i="36"/>
  <c r="H5" i="36"/>
  <c r="K5" i="36"/>
  <c r="L5" i="36" s="1"/>
  <c r="D6" i="36"/>
  <c r="N6" i="59"/>
  <c r="L29" i="36"/>
  <c r="L28" i="36"/>
  <c r="D6" i="59"/>
  <c r="C6" i="58"/>
  <c r="L7" i="55"/>
  <c r="E3" i="59"/>
  <c r="B3" i="36"/>
  <c r="L7" i="58"/>
  <c r="E10" i="31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D5" i="34" l="1"/>
  <c r="D6" i="31"/>
  <c r="D7" i="31"/>
  <c r="D8" i="31"/>
  <c r="D5" i="31"/>
  <c r="E6" i="36"/>
  <c r="H6" i="36"/>
  <c r="F6" i="36"/>
  <c r="K6" i="36"/>
  <c r="L6" i="36" s="1"/>
  <c r="N7" i="59"/>
  <c r="D7" i="36"/>
  <c r="L8" i="55"/>
  <c r="D7" i="59"/>
  <c r="C7" i="58"/>
  <c r="B4" i="36"/>
  <c r="E4" i="59"/>
  <c r="L8" i="58"/>
  <c r="E11" i="31"/>
  <c r="A2" i="34"/>
  <c r="D6" i="34" l="1"/>
  <c r="E27" i="34"/>
  <c r="E31" i="34"/>
  <c r="E35" i="34"/>
  <c r="D14" i="31"/>
  <c r="E34" i="34"/>
  <c r="E28" i="34"/>
  <c r="E26" i="34"/>
  <c r="D13" i="31"/>
  <c r="E29" i="34"/>
  <c r="E33" i="34"/>
  <c r="D12" i="31"/>
  <c r="E30" i="34"/>
  <c r="D2" i="60"/>
  <c r="H7" i="36"/>
  <c r="E7" i="36"/>
  <c r="F7" i="36"/>
  <c r="K7" i="36"/>
  <c r="L7" i="36" s="1"/>
  <c r="N8" i="59"/>
  <c r="D8" i="36"/>
  <c r="D8" i="59"/>
  <c r="C8" i="58"/>
  <c r="L9" i="55"/>
  <c r="B5" i="36"/>
  <c r="E5" i="59"/>
  <c r="L9" i="58"/>
  <c r="E8" i="31"/>
  <c r="D7" i="34" l="1"/>
  <c r="E3" i="34"/>
  <c r="E7" i="34"/>
  <c r="E11" i="34"/>
  <c r="E15" i="34"/>
  <c r="E19" i="34"/>
  <c r="E23" i="34"/>
  <c r="D18" i="31"/>
  <c r="E6" i="34"/>
  <c r="E18" i="34"/>
  <c r="E4" i="34"/>
  <c r="E8" i="34"/>
  <c r="E12" i="34"/>
  <c r="E16" i="34"/>
  <c r="E20" i="34"/>
  <c r="E24" i="34"/>
  <c r="E32" i="34"/>
  <c r="E2" i="34"/>
  <c r="D15" i="31"/>
  <c r="D19" i="31"/>
  <c r="E10" i="34"/>
  <c r="E5" i="34"/>
  <c r="E9" i="34"/>
  <c r="E13" i="34"/>
  <c r="E17" i="34"/>
  <c r="E21" i="34"/>
  <c r="E25" i="34"/>
  <c r="D16" i="31"/>
  <c r="D20" i="31"/>
  <c r="E14" i="34"/>
  <c r="E22" i="34"/>
  <c r="D17" i="31"/>
  <c r="D3" i="60"/>
  <c r="F8" i="36"/>
  <c r="H8" i="36"/>
  <c r="E8" i="36"/>
  <c r="K8" i="36"/>
  <c r="L8" i="36" s="1"/>
  <c r="D9" i="36"/>
  <c r="N9" i="59"/>
  <c r="L10" i="55"/>
  <c r="D9" i="59"/>
  <c r="C9" i="58"/>
  <c r="E6" i="59"/>
  <c r="B6" i="36"/>
  <c r="L10" i="58"/>
  <c r="D8" i="34" l="1"/>
  <c r="E3" i="31"/>
  <c r="E14" i="31"/>
  <c r="E6" i="31"/>
  <c r="E17" i="31"/>
  <c r="F9" i="36"/>
  <c r="H9" i="36"/>
  <c r="E9" i="36"/>
  <c r="K9" i="36"/>
  <c r="L9" i="36" s="1"/>
  <c r="D10" i="36"/>
  <c r="N10" i="59"/>
  <c r="L33" i="36"/>
  <c r="L34" i="36"/>
  <c r="L35" i="36"/>
  <c r="L32" i="36"/>
  <c r="D10" i="59"/>
  <c r="C10" i="58"/>
  <c r="L11" i="55"/>
  <c r="E7" i="59"/>
  <c r="B7" i="36"/>
  <c r="L11" i="58"/>
  <c r="E18" i="31"/>
  <c r="D9" i="34" l="1"/>
  <c r="E10" i="36"/>
  <c r="F10" i="36"/>
  <c r="H10" i="36"/>
  <c r="K10" i="36"/>
  <c r="L10" i="36" s="1"/>
  <c r="N11" i="59"/>
  <c r="D11" i="36"/>
  <c r="L12" i="55"/>
  <c r="D11" i="59"/>
  <c r="C11" i="58"/>
  <c r="B8" i="36"/>
  <c r="E8" i="59"/>
  <c r="L12" i="58"/>
  <c r="E19" i="31"/>
  <c r="D10" i="34" l="1"/>
  <c r="H11" i="36"/>
  <c r="E11" i="36"/>
  <c r="F11" i="36"/>
  <c r="K11" i="36"/>
  <c r="L11" i="36" s="1"/>
  <c r="N12" i="59"/>
  <c r="D12" i="36"/>
  <c r="D12" i="59"/>
  <c r="C12" i="58"/>
  <c r="L13" i="55"/>
  <c r="B9" i="36"/>
  <c r="E9" i="59"/>
  <c r="L13" i="58"/>
  <c r="E20" i="31"/>
  <c r="D11" i="34" l="1"/>
  <c r="F12" i="36"/>
  <c r="H12" i="36"/>
  <c r="E12" i="36"/>
  <c r="K12" i="36"/>
  <c r="L12" i="36" s="1"/>
  <c r="N13" i="59"/>
  <c r="D13" i="36"/>
  <c r="L14" i="55"/>
  <c r="D13" i="59"/>
  <c r="C13" i="58"/>
  <c r="B10" i="36"/>
  <c r="E10" i="59"/>
  <c r="L14" i="58"/>
  <c r="D12" i="34" l="1"/>
  <c r="E7" i="31"/>
  <c r="E4" i="31"/>
  <c r="F13" i="36"/>
  <c r="E13" i="36"/>
  <c r="H13" i="36"/>
  <c r="K13" i="36"/>
  <c r="L13" i="36" s="1"/>
  <c r="D14" i="36"/>
  <c r="N14" i="59"/>
  <c r="D14" i="59"/>
  <c r="C14" i="58"/>
  <c r="L15" i="55"/>
  <c r="E11" i="59"/>
  <c r="B11" i="36"/>
  <c r="L15" i="58"/>
  <c r="D13" i="34" l="1"/>
  <c r="E16" i="31"/>
  <c r="E13" i="31"/>
  <c r="E14" i="36"/>
  <c r="H14" i="36"/>
  <c r="F14" i="36"/>
  <c r="K14" i="36"/>
  <c r="L14" i="36" s="1"/>
  <c r="N15" i="59"/>
  <c r="D15" i="36"/>
  <c r="D15" i="59"/>
  <c r="C15" i="58"/>
  <c r="L16" i="55"/>
  <c r="B12" i="36"/>
  <c r="E12" i="59"/>
  <c r="L16" i="58"/>
  <c r="D14" i="34" l="1"/>
  <c r="H15" i="36"/>
  <c r="E15" i="36"/>
  <c r="F15" i="36"/>
  <c r="K15" i="36"/>
  <c r="L15" i="36" s="1"/>
  <c r="N16" i="59"/>
  <c r="D16" i="36"/>
  <c r="D16" i="59"/>
  <c r="C16" i="58"/>
  <c r="L17" i="55"/>
  <c r="B13" i="36"/>
  <c r="E13" i="59"/>
  <c r="L17" i="58"/>
  <c r="D15" i="34" l="1"/>
  <c r="F16" i="36"/>
  <c r="H16" i="36"/>
  <c r="E16" i="36"/>
  <c r="K16" i="36"/>
  <c r="L16" i="36" s="1"/>
  <c r="D17" i="36"/>
  <c r="N17" i="59"/>
  <c r="L30" i="36"/>
  <c r="L31" i="36"/>
  <c r="D17" i="59"/>
  <c r="C17" i="58"/>
  <c r="L18" i="55"/>
  <c r="E14" i="59"/>
  <c r="B14" i="36"/>
  <c r="L18" i="58"/>
  <c r="D16" i="34" l="1"/>
  <c r="F17" i="36"/>
  <c r="H17" i="36"/>
  <c r="E17" i="36"/>
  <c r="K17" i="36"/>
  <c r="L17" i="36" s="1"/>
  <c r="D18" i="36"/>
  <c r="N18" i="59"/>
  <c r="D18" i="59"/>
  <c r="C18" i="58"/>
  <c r="L19" i="55"/>
  <c r="E15" i="59"/>
  <c r="B15" i="36"/>
  <c r="L19" i="58"/>
  <c r="D17" i="34" l="1"/>
  <c r="E18" i="36"/>
  <c r="F18" i="36"/>
  <c r="H18" i="36"/>
  <c r="K18" i="36"/>
  <c r="L18" i="36" s="1"/>
  <c r="N19" i="59"/>
  <c r="D19" i="36"/>
  <c r="L20" i="55"/>
  <c r="D19" i="59"/>
  <c r="C19" i="58"/>
  <c r="B16" i="36"/>
  <c r="E16" i="59"/>
  <c r="L20" i="58"/>
  <c r="D18" i="34" l="1"/>
  <c r="H19" i="36"/>
  <c r="E19" i="36"/>
  <c r="F19" i="36"/>
  <c r="K19" i="36"/>
  <c r="L19" i="36" s="1"/>
  <c r="N20" i="59"/>
  <c r="D20" i="36"/>
  <c r="D20" i="59"/>
  <c r="C20" i="58"/>
  <c r="L21" i="55"/>
  <c r="B17" i="36"/>
  <c r="E17" i="59"/>
  <c r="L21" i="58"/>
  <c r="D19" i="34" l="1"/>
  <c r="F20" i="36"/>
  <c r="H20" i="36"/>
  <c r="E20" i="36"/>
  <c r="K20" i="36"/>
  <c r="L20" i="36" s="1"/>
  <c r="D21" i="36"/>
  <c r="N21" i="59"/>
  <c r="L22" i="55"/>
  <c r="D21" i="59"/>
  <c r="C21" i="58"/>
  <c r="E18" i="59"/>
  <c r="B18" i="36"/>
  <c r="L22" i="58"/>
  <c r="D20" i="34" l="1"/>
  <c r="F21" i="36"/>
  <c r="E21" i="36"/>
  <c r="H21" i="36"/>
  <c r="K21" i="36"/>
  <c r="L21" i="36" s="1"/>
  <c r="D22" i="36"/>
  <c r="N22" i="59"/>
  <c r="D22" i="59"/>
  <c r="C22" i="58"/>
  <c r="L23" i="55"/>
  <c r="E19" i="59"/>
  <c r="B19" i="36"/>
  <c r="L23" i="58"/>
  <c r="D21" i="34" l="1"/>
  <c r="E22" i="36"/>
  <c r="H22" i="36"/>
  <c r="F22" i="36"/>
  <c r="K22" i="36"/>
  <c r="L22" i="36" s="1"/>
  <c r="N23" i="59"/>
  <c r="D23" i="36"/>
  <c r="L25" i="55"/>
  <c r="L24" i="55"/>
  <c r="D23" i="59"/>
  <c r="C23" i="58"/>
  <c r="B20" i="36"/>
  <c r="E20" i="59"/>
  <c r="L25" i="58"/>
  <c r="L24" i="58"/>
  <c r="D22" i="34" l="1"/>
  <c r="H23" i="36"/>
  <c r="E23" i="36"/>
  <c r="F23" i="36"/>
  <c r="K23" i="36"/>
  <c r="L23" i="36" s="1"/>
  <c r="N24" i="59"/>
  <c r="D24" i="36"/>
  <c r="D24" i="59"/>
  <c r="C24" i="58"/>
  <c r="D25" i="59"/>
  <c r="C25" i="58"/>
  <c r="B21" i="36"/>
  <c r="E21" i="59"/>
  <c r="D23" i="34" l="1"/>
  <c r="E26" i="36"/>
  <c r="H26" i="36"/>
  <c r="F26" i="36"/>
  <c r="F24" i="36"/>
  <c r="H24" i="36"/>
  <c r="E24" i="36"/>
  <c r="K24" i="36"/>
  <c r="L24" i="36" s="1"/>
  <c r="N25" i="59"/>
  <c r="D25" i="36"/>
  <c r="E31" i="36"/>
  <c r="E37" i="36"/>
  <c r="E32" i="36"/>
  <c r="F31" i="36"/>
  <c r="L40" i="36"/>
  <c r="H33" i="36"/>
  <c r="E40" i="36"/>
  <c r="L38" i="36"/>
  <c r="H38" i="36"/>
  <c r="F29" i="36"/>
  <c r="H31" i="36"/>
  <c r="F38" i="36"/>
  <c r="F28" i="36"/>
  <c r="H29" i="36"/>
  <c r="E27" i="36"/>
  <c r="H28" i="36"/>
  <c r="L37" i="36"/>
  <c r="E39" i="36"/>
  <c r="E38" i="36"/>
  <c r="H34" i="36"/>
  <c r="F33" i="36"/>
  <c r="H27" i="36"/>
  <c r="H36" i="36"/>
  <c r="E33" i="36"/>
  <c r="H35" i="36"/>
  <c r="F34" i="36"/>
  <c r="E28" i="36"/>
  <c r="E30" i="36"/>
  <c r="F37" i="36"/>
  <c r="L39" i="36"/>
  <c r="F40" i="36"/>
  <c r="F36" i="36"/>
  <c r="H32" i="36"/>
  <c r="L36" i="36"/>
  <c r="H40" i="36"/>
  <c r="E35" i="36"/>
  <c r="E29" i="36"/>
  <c r="E34" i="36"/>
  <c r="F27" i="36"/>
  <c r="H39" i="36"/>
  <c r="F35" i="36"/>
  <c r="F30" i="36"/>
  <c r="E36" i="36"/>
  <c r="H37" i="36"/>
  <c r="H30" i="36"/>
  <c r="F39" i="36"/>
  <c r="F32" i="36"/>
  <c r="B22" i="36"/>
  <c r="E22" i="59"/>
  <c r="D24" i="34" l="1"/>
  <c r="F25" i="36"/>
  <c r="H25" i="36"/>
  <c r="E25" i="36"/>
  <c r="K25" i="36"/>
  <c r="L25" i="36" s="1"/>
  <c r="E23" i="59"/>
  <c r="B23" i="36"/>
  <c r="D25" i="34" l="1"/>
  <c r="B24" i="36"/>
  <c r="E24" i="59"/>
  <c r="D26" i="34" l="1"/>
  <c r="B25" i="36"/>
  <c r="E25" i="59"/>
  <c r="B26" i="36"/>
  <c r="D27" i="34" l="1"/>
  <c r="B27" i="36"/>
  <c r="D28" i="34" l="1"/>
  <c r="B28" i="36"/>
  <c r="D29" i="34" l="1"/>
  <c r="B29" i="36"/>
  <c r="D30" i="34" l="1"/>
  <c r="B30" i="36"/>
  <c r="D31" i="34" l="1"/>
  <c r="B31" i="36"/>
  <c r="D32" i="34" l="1"/>
  <c r="B32" i="36"/>
  <c r="D33" i="34" l="1"/>
  <c r="B33" i="36"/>
  <c r="D34" i="34" l="1"/>
  <c r="B34" i="36"/>
  <c r="D35" i="34" l="1"/>
  <c r="B35" i="36"/>
  <c r="D36" i="34" l="1"/>
  <c r="B36" i="36"/>
  <c r="D37" i="34" l="1"/>
  <c r="B37" i="36"/>
  <c r="D38" i="34" l="1"/>
  <c r="B38" i="36"/>
  <c r="D40" i="34" l="1"/>
  <c r="D39" i="34"/>
  <c r="B39" i="36"/>
  <c r="B40" i="36" l="1"/>
</calcChain>
</file>

<file path=xl/sharedStrings.xml><?xml version="1.0" encoding="utf-8"?>
<sst xmlns="http://schemas.openxmlformats.org/spreadsheetml/2006/main" count="4995" uniqueCount="2686">
  <si>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</si>
  <si>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</si>
  <si>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</si>
  <si>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</si>
  <si>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</si>
  <si>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</si>
  <si>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</si>
  <si>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</si>
  <si>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</si>
  <si>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</si>
  <si>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</si>
  <si>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</si>
  <si>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</si>
  <si>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</si>
  <si>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</si>
  <si>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</si>
  <si>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</si>
  <si>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</si>
  <si>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</si>
  <si>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</si>
  <si>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</si>
  <si>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</si>
  <si>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</si>
  <si>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</si>
  <si>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</si>
  <si>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</si>
  <si>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</si>
  <si>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</si>
  <si>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</si>
  <si>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</si>
  <si>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</si>
  <si>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</si>
  <si>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</si>
  <si>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</si>
  <si>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</si>
  <si>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</si>
  <si>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</si>
  <si>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</si>
  <si>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</si>
  <si>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</si>
  <si>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</si>
  <si>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</si>
  <si>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</si>
  <si>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</si>
  <si>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</si>
  <si>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</si>
  <si>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</si>
  <si>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</si>
  <si>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</si>
  <si>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</si>
  <si>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</si>
  <si>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</si>
  <si>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</si>
  <si>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</si>
  <si>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</si>
  <si>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</si>
  <si>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</si>
  <si>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</si>
  <si>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</si>
  <si>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</si>
  <si>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</si>
  <si>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</si>
  <si>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</si>
  <si>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</si>
  <si>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</si>
  <si>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</si>
  <si>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</si>
  <si>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</si>
  <si>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</si>
  <si>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</si>
  <si>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</si>
  <si>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</si>
  <si>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</si>
  <si>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</si>
  <si>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</si>
  <si>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</si>
  <si>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</si>
  <si>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</si>
  <si>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</si>
  <si>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</si>
  <si>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</si>
  <si>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</si>
  <si>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</si>
  <si>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</si>
  <si>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</si>
  <si>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</si>
  <si>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</si>
  <si>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</si>
  <si>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</si>
  <si>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</si>
  <si>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</si>
  <si>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</si>
  <si>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</si>
  <si>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</si>
  <si>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</si>
  <si>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</si>
  <si>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</si>
  <si>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</si>
  <si>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</si>
  <si>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</si>
  <si>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</si>
  <si>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</si>
  <si>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</si>
  <si>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</si>
  <si>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</si>
  <si>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</si>
  <si>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</si>
  <si>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</si>
  <si>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</si>
  <si>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</si>
  <si>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</si>
  <si>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</si>
  <si>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</si>
  <si>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</si>
  <si>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</si>
  <si>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</si>
  <si>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</si>
  <si>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</si>
  <si>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</si>
  <si>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</si>
  <si>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</si>
  <si>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</si>
  <si>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</si>
  <si>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</si>
  <si>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</si>
  <si>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</si>
  <si>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</si>
  <si>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</si>
  <si>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</si>
  <si>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</si>
  <si>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</si>
  <si>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</si>
  <si>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</si>
  <si>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</si>
  <si>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</si>
  <si>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</si>
  <si>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</si>
  <si>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</si>
  <si>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</si>
  <si>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</si>
  <si>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</si>
  <si>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</si>
  <si>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</si>
  <si>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</si>
  <si>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</si>
  <si>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</si>
  <si>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</si>
  <si>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</si>
  <si>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</si>
  <si>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</si>
  <si>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</si>
  <si>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</si>
  <si>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</si>
  <si>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</si>
  <si>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</si>
  <si>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</si>
  <si>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</si>
  <si>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</si>
  <si>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</si>
  <si>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</si>
  <si>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</si>
  <si>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</si>
  <si>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</si>
  <si>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</si>
  <si>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</si>
  <si>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</si>
  <si>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</si>
  <si>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</si>
  <si>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</si>
  <si>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</si>
  <si>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</si>
  <si>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</si>
  <si>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</si>
  <si>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</si>
  <si>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</si>
  <si>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</si>
  <si>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</si>
  <si>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</si>
  <si>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</si>
  <si>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</si>
  <si>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</si>
  <si>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</si>
  <si>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</si>
  <si>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</si>
  <si>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</si>
  <si>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</si>
  <si>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</si>
  <si>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</si>
  <si>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</si>
  <si>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</si>
  <si>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</si>
  <si>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</si>
  <si>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</si>
  <si>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</si>
  <si>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</si>
  <si>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</si>
  <si>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</si>
  <si>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</si>
  <si>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</si>
  <si>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</si>
  <si>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</si>
  <si>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</si>
  <si>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</si>
  <si>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</si>
  <si>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</si>
  <si>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</si>
  <si>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</si>
  <si>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</si>
  <si>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</si>
  <si>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</si>
  <si>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</si>
  <si>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</si>
  <si>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</si>
  <si>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</si>
  <si>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</si>
  <si>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</si>
  <si>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</si>
  <si>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</si>
  <si>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</si>
  <si>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</si>
  <si>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</si>
  <si>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</si>
  <si>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</si>
  <si>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</si>
  <si>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</si>
  <si>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</si>
  <si>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</si>
  <si>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</si>
  <si>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</si>
  <si>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</si>
  <si>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</si>
  <si>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</si>
  <si>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</si>
  <si>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</si>
  <si>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</si>
  <si>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</si>
  <si>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</si>
  <si>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</si>
  <si>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</si>
  <si>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</si>
  <si>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</si>
  <si>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</si>
  <si>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</si>
  <si>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</si>
  <si>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</si>
  <si>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</si>
  <si>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</si>
  <si>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</si>
  <si>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</si>
  <si>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</si>
  <si>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</si>
  <si>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</si>
  <si>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</si>
  <si>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</si>
  <si>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</si>
  <si>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</si>
  <si>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</si>
  <si>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</si>
  <si>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</si>
  <si>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</si>
  <si>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</si>
  <si>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</si>
  <si>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</si>
  <si>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</si>
  <si>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</si>
  <si>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</si>
  <si>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</si>
  <si>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</si>
  <si>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</si>
  <si>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</si>
  <si>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</si>
  <si>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</si>
  <si>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</si>
  <si>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</si>
  <si>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</si>
  <si>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</si>
  <si>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</si>
  <si>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</si>
  <si>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</si>
  <si>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</si>
  <si>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</si>
  <si>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</si>
  <si>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</si>
  <si>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</si>
  <si>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</si>
  <si>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</si>
  <si>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</si>
  <si>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</si>
  <si>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</si>
  <si>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</si>
  <si>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</si>
  <si>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</si>
  <si>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</si>
  <si>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</si>
  <si>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</si>
  <si>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</si>
  <si>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</si>
  <si>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</si>
  <si>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</si>
  <si>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</si>
  <si>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</si>
  <si>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</si>
  <si>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</si>
  <si>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</si>
  <si>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</si>
  <si>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</si>
  <si>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</si>
  <si>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</si>
  <si>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</si>
  <si>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</si>
  <si>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</si>
  <si>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</si>
  <si>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</si>
  <si>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</si>
  <si>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</si>
  <si>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</si>
  <si>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</si>
  <si>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</si>
  <si>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</si>
  <si>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</si>
  <si>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</si>
  <si>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</si>
  <si>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</si>
  <si>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</si>
  <si>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</si>
  <si>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</si>
  <si>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</si>
  <si>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</si>
  <si>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</si>
  <si>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</si>
  <si>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</si>
  <si>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</si>
  <si>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</si>
  <si>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</si>
  <si>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</si>
  <si>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</si>
  <si>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</si>
  <si>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</si>
  <si>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</si>
  <si>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</si>
  <si>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</si>
  <si>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</si>
  <si>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</si>
  <si>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</si>
  <si>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</si>
  <si>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</si>
  <si>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</si>
  <si>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</si>
  <si>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</si>
  <si>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</si>
  <si>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</si>
  <si>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</si>
  <si>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</si>
  <si>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</si>
  <si>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</si>
  <si>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</si>
  <si>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</si>
  <si>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</si>
  <si>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</si>
  <si>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</si>
  <si>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</si>
  <si>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</si>
  <si>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</si>
  <si>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</si>
  <si>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</si>
  <si>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</si>
  <si>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</si>
  <si>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</si>
  <si>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</si>
  <si>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</si>
  <si>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</si>
  <si>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</si>
  <si>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</si>
  <si>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</si>
  <si>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</si>
  <si>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</si>
  <si>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</si>
  <si>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</si>
  <si>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</si>
  <si>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</si>
  <si>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</si>
  <si>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</si>
  <si>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</si>
  <si>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</si>
  <si>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</si>
  <si>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</si>
  <si>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</si>
  <si>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</si>
  <si>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</si>
  <si>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</si>
  <si>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</si>
  <si>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</si>
  <si>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</si>
  <si>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</si>
  <si>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</si>
  <si>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</si>
  <si>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</si>
  <si>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</si>
  <si>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</si>
  <si>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</si>
  <si>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</si>
  <si>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</si>
  <si>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</si>
  <si>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</si>
  <si>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</si>
  <si>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</si>
  <si>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</si>
  <si>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</si>
  <si>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</si>
  <si>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</si>
  <si>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</si>
  <si>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</si>
  <si>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</si>
  <si>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</si>
  <si>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</si>
  <si>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</si>
  <si>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</si>
  <si>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</si>
  <si>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</si>
  <si>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</si>
  <si>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</si>
  <si>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</si>
  <si>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</si>
  <si>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</si>
  <si>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</si>
  <si>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</si>
  <si>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</si>
  <si>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</si>
  <si>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</si>
  <si>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</si>
  <si>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</si>
  <si>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</si>
  <si>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</si>
  <si>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</si>
  <si>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</si>
  <si>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</si>
  <si>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</si>
  <si>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</si>
  <si>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</si>
  <si>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</si>
  <si>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</si>
  <si>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</si>
  <si>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</si>
  <si>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</si>
  <si>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</si>
  <si>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</si>
  <si>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</si>
  <si>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</si>
  <si>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</si>
  <si>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</si>
  <si>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</si>
  <si>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</si>
  <si>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</si>
  <si>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</si>
  <si>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</si>
  <si>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</si>
  <si>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</si>
  <si>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</si>
  <si>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</si>
  <si>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</si>
  <si>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</si>
  <si>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</si>
  <si>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</si>
  <si>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</si>
  <si>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</si>
  <si>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</si>
  <si>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</si>
  <si>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</si>
  <si>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</si>
  <si>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</si>
  <si>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</si>
  <si>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</si>
  <si>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</si>
  <si>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</si>
  <si>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</si>
  <si>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</si>
  <si>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</si>
  <si>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</si>
  <si>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</si>
  <si>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</si>
  <si>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</si>
  <si>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</si>
  <si>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</si>
  <si>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</si>
  <si>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</si>
  <si>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</si>
  <si>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</si>
  <si>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</si>
  <si>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</si>
  <si>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</si>
  <si>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</si>
  <si>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</si>
  <si>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</si>
  <si>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</si>
  <si>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</si>
  <si>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</si>
  <si>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</si>
  <si>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</si>
  <si>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</si>
  <si>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</si>
  <si>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</si>
  <si>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</si>
  <si>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</si>
  <si>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</si>
  <si>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</si>
  <si>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</si>
  <si>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</si>
  <si>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</si>
  <si>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</si>
  <si>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</si>
  <si>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</si>
  <si>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</si>
  <si>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</si>
  <si>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</si>
  <si>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</si>
  <si>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</si>
  <si>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</si>
  <si>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</si>
  <si>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</si>
  <si>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</si>
  <si>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</si>
  <si>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</si>
  <si>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</si>
  <si>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</si>
  <si>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</si>
  <si>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</si>
  <si>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</si>
  <si>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</si>
  <si>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</si>
  <si>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</si>
  <si>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</si>
  <si>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</si>
  <si>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</si>
  <si>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</si>
  <si>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</si>
  <si>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</si>
  <si>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</si>
  <si>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</si>
  <si>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</si>
  <si>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</si>
  <si>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</si>
  <si>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</si>
  <si>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</si>
  <si>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</si>
  <si>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</si>
  <si>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</si>
  <si>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</si>
  <si>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</si>
  <si>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</si>
  <si>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</si>
  <si>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</si>
  <si>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</si>
  <si>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</si>
  <si>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</si>
  <si>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</si>
  <si>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</si>
  <si>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</si>
  <si>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</si>
  <si>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</si>
  <si>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</si>
  <si>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</si>
  <si>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</si>
  <si>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</si>
  <si>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</si>
  <si>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</si>
  <si>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</si>
  <si>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</si>
  <si>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</si>
  <si>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</si>
  <si>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</si>
  <si>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</si>
  <si>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</si>
  <si>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</si>
  <si>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</si>
  <si>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</si>
  <si>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</si>
  <si>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</si>
  <si>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</si>
  <si>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</si>
  <si>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</si>
  <si>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</si>
  <si>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</si>
  <si>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</si>
  <si>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</si>
  <si>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</si>
  <si>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</si>
  <si>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</si>
  <si>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</si>
  <si>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</si>
  <si>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</si>
  <si>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</si>
  <si>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</si>
  <si>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</si>
  <si>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</si>
  <si>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</si>
  <si>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</si>
  <si>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</si>
  <si>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</si>
  <si>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</si>
  <si>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</si>
  <si>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</si>
  <si>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</si>
  <si>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</si>
  <si>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</si>
  <si>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</si>
  <si>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</si>
  <si>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</si>
  <si>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</si>
  <si>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</si>
  <si>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</si>
  <si>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</si>
  <si>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</si>
  <si>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</si>
  <si>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</si>
  <si>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</si>
  <si>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</si>
  <si>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</si>
  <si>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</si>
  <si>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</si>
  <si>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</si>
  <si>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</si>
  <si>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</si>
  <si>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</si>
  <si>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</si>
  <si>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</si>
  <si>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</si>
  <si>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</si>
  <si>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</si>
  <si>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</si>
  <si>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</si>
  <si>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</si>
  <si>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</si>
  <si>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</si>
  <si>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</si>
  <si>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</si>
  <si>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</si>
  <si>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</si>
  <si>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</si>
  <si>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</si>
  <si>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</si>
  <si>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</si>
  <si>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</si>
  <si>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</si>
  <si>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</si>
  <si>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</si>
  <si>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</si>
  <si>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</si>
  <si>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</si>
  <si>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</si>
  <si>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</si>
  <si>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</si>
  <si>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</si>
  <si>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</si>
  <si>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</si>
  <si>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</si>
  <si>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</si>
  <si>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</si>
  <si>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</si>
  <si>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</si>
  <si>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</si>
  <si>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</si>
  <si>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</si>
  <si>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</si>
  <si>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</si>
  <si>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</si>
  <si>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</si>
  <si>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</si>
  <si>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</si>
  <si>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</si>
  <si>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</si>
  <si>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</si>
  <si>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</si>
  <si>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</si>
  <si>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</si>
  <si>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</si>
  <si>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</si>
  <si>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</si>
  <si>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</si>
  <si>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</si>
  <si>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</si>
  <si>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</si>
  <si>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</si>
  <si>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</si>
  <si>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</si>
  <si>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</si>
  <si>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</si>
  <si>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</si>
  <si>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</si>
  <si>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</si>
  <si>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</si>
  <si>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</si>
  <si>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</si>
  <si>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</si>
  <si>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</si>
  <si>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</si>
  <si>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</si>
  <si>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</si>
  <si>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</si>
  <si>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</si>
  <si>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</si>
  <si>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</si>
  <si>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</si>
  <si>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</si>
  <si>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</si>
  <si>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</si>
  <si>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</si>
  <si>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</si>
  <si>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</si>
  <si>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</si>
  <si>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</si>
  <si>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</si>
  <si>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</si>
  <si>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</si>
  <si>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</si>
  <si>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</si>
  <si>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</si>
  <si>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</si>
  <si>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</si>
  <si>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</si>
  <si>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</si>
  <si>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</si>
  <si>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</si>
  <si>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</si>
  <si>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</si>
  <si>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</si>
  <si>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</si>
  <si>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</si>
  <si>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</si>
  <si>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</si>
  <si>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</si>
  <si>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</si>
  <si>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</si>
  <si>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</si>
  <si>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</si>
  <si>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</si>
  <si>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</si>
  <si>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</si>
  <si>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</si>
  <si>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</si>
  <si>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</si>
  <si>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</si>
  <si>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</si>
  <si>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</si>
  <si>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</si>
  <si>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</si>
  <si>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</si>
  <si>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</si>
  <si>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</si>
  <si>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</si>
  <si>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</si>
  <si>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</si>
  <si>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</si>
  <si>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</si>
  <si>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</si>
  <si>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</si>
  <si>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</si>
  <si>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</si>
  <si>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</si>
  <si>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</si>
  <si>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</si>
  <si>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</si>
  <si>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</si>
  <si>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</si>
  <si>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</si>
  <si>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</si>
  <si>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</si>
  <si>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</si>
  <si>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</si>
  <si>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</si>
  <si>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</si>
  <si>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</si>
  <si>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</si>
  <si>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</si>
  <si>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</si>
  <si>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</si>
  <si>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</si>
  <si>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</si>
  <si>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</si>
  <si>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</si>
  <si>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</si>
  <si>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</si>
  <si>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</si>
  <si>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</si>
  <si>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</si>
  <si>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</si>
  <si>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</si>
  <si>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</si>
  <si>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</si>
  <si>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</si>
  <si>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</si>
  <si>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</si>
  <si>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</si>
  <si>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</si>
  <si>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</si>
  <si>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</si>
  <si>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</si>
  <si>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</si>
  <si>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</si>
  <si>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</si>
  <si>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</si>
  <si>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</si>
  <si>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</si>
  <si>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</si>
  <si>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</si>
  <si>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</si>
  <si>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</si>
  <si>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</si>
  <si>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</si>
  <si>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</si>
  <si>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</si>
  <si>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</si>
  <si>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</si>
  <si>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</si>
  <si>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</si>
  <si>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</si>
  <si>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</si>
  <si>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</si>
  <si>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</si>
  <si>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</si>
  <si>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</si>
  <si>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</si>
  <si>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</si>
  <si>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</si>
  <si>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</si>
  <si>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</si>
  <si>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</si>
  <si>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</si>
  <si>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</si>
  <si>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</si>
  <si>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</si>
  <si>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</si>
  <si>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</si>
  <si>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</si>
  <si>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</si>
  <si>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</si>
  <si>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</si>
  <si>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</si>
  <si>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</si>
  <si>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</si>
  <si>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</si>
  <si>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</si>
  <si>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</si>
  <si>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</si>
  <si>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</si>
  <si>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</si>
  <si>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</si>
  <si>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</si>
  <si>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</si>
  <si>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</si>
  <si>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</si>
  <si>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</si>
  <si>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</si>
  <si>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</si>
  <si>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</si>
  <si>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</si>
  <si>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</si>
  <si>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</si>
  <si>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</si>
  <si>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</si>
  <si>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</si>
  <si>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</si>
  <si>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</si>
  <si>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</si>
  <si>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</si>
  <si>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</si>
  <si>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</si>
  <si>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</si>
  <si>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</si>
  <si>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</si>
  <si>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</si>
  <si>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</si>
  <si>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</si>
  <si>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</si>
  <si>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</si>
  <si>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</si>
  <si>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</si>
  <si>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</si>
  <si>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</si>
  <si>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</si>
  <si>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</si>
  <si>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</si>
  <si>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</si>
  <si>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</si>
  <si>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</si>
  <si>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</si>
  <si>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</si>
  <si>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</si>
  <si>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</si>
  <si>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</si>
  <si>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</si>
  <si>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</si>
  <si>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</si>
  <si>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</si>
  <si>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</si>
  <si>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</si>
  <si>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</si>
  <si>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</si>
  <si>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</si>
  <si>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</si>
  <si>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</si>
  <si>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</si>
  <si>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</si>
  <si>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</si>
  <si>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</si>
  <si>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</si>
  <si>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</si>
  <si>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</si>
  <si>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</si>
  <si>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</si>
  <si>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</si>
  <si>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</si>
  <si>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</si>
  <si>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</si>
  <si>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</si>
  <si>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</si>
  <si>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</si>
  <si>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</si>
  <si>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</si>
  <si>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</si>
  <si>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</si>
  <si>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</si>
  <si>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</si>
  <si>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</si>
  <si>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</si>
  <si>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</si>
  <si>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</si>
  <si>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</si>
  <si>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</si>
  <si>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</si>
  <si>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</si>
  <si>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</si>
  <si>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</si>
  <si>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</si>
  <si>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</si>
  <si>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</si>
  <si>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</si>
  <si>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</si>
  <si>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</si>
  <si>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</si>
  <si>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</si>
  <si>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</si>
  <si>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</si>
  <si>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</si>
  <si>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</si>
  <si>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</si>
  <si>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</si>
  <si>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</si>
  <si>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</si>
  <si>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</si>
  <si>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</si>
  <si>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</si>
  <si>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</si>
  <si>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</si>
  <si>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</si>
  <si>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</si>
  <si>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</si>
  <si>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</si>
  <si>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</si>
  <si>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</si>
  <si>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</si>
  <si>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</si>
  <si>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</si>
  <si>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</si>
  <si>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</si>
  <si>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</si>
  <si>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</si>
  <si>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</si>
  <si>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</si>
  <si>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</si>
  <si>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</si>
  <si>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</si>
  <si>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</si>
  <si>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</si>
  <si>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</si>
  <si>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</si>
  <si>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</si>
  <si>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</si>
  <si>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</si>
  <si>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</si>
  <si>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</si>
  <si>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</si>
  <si>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</si>
  <si>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</si>
  <si>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</si>
  <si>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</si>
  <si>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</si>
  <si>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</si>
  <si>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</si>
  <si>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</si>
  <si>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</si>
  <si>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</si>
  <si>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</si>
  <si>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</si>
  <si>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</si>
  <si>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</si>
  <si>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</si>
  <si>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</si>
  <si>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</si>
  <si>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</si>
  <si>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</si>
  <si>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</si>
  <si>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</si>
  <si>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</si>
  <si>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</si>
  <si>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</si>
  <si>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</si>
  <si>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</si>
  <si>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</si>
  <si>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</si>
  <si>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</si>
  <si>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</si>
  <si>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</si>
  <si>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</si>
  <si>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</si>
  <si>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</si>
  <si>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</si>
  <si>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</si>
  <si>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</si>
  <si>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</si>
  <si>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</si>
  <si>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</si>
  <si>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</si>
  <si>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</si>
  <si>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</si>
  <si>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</si>
  <si>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</si>
  <si>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</si>
  <si>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</si>
  <si>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</si>
  <si>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</si>
  <si>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</si>
  <si>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</si>
  <si>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</si>
  <si>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</si>
  <si>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</si>
  <si>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</si>
  <si>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</si>
  <si>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</si>
  <si>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</si>
  <si>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</si>
  <si>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</si>
  <si>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</si>
  <si>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</si>
  <si>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</si>
  <si>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</si>
  <si>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</si>
  <si>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</si>
  <si>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</si>
  <si>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</si>
  <si>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</si>
  <si>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</si>
  <si>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</si>
  <si>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</si>
  <si>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</si>
  <si>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</si>
  <si>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</si>
  <si>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</si>
  <si>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</si>
  <si>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</si>
  <si>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</si>
  <si>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</si>
  <si>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</si>
  <si>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</si>
  <si>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</si>
  <si>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</si>
  <si>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</si>
  <si>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</si>
  <si>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</si>
  <si>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</si>
  <si>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</si>
  <si>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</si>
  <si>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</si>
  <si>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</si>
  <si>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</si>
  <si>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</si>
  <si>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</si>
  <si>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</si>
  <si>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</si>
  <si>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</si>
  <si>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</si>
  <si>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</si>
  <si>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</si>
  <si>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</si>
  <si>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</si>
  <si>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</si>
  <si>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</si>
  <si>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</si>
  <si>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</si>
  <si>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</si>
  <si>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</si>
  <si>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</si>
  <si>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</si>
  <si>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</si>
  <si>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</si>
  <si>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</si>
  <si>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</si>
  <si>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</si>
  <si>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</si>
  <si>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</si>
  <si>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</si>
  <si>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</si>
  <si>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</si>
  <si>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</si>
  <si>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</si>
  <si>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</si>
  <si>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</si>
  <si>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</si>
  <si>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</si>
  <si>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</si>
  <si>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</si>
  <si>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</si>
  <si>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</si>
  <si>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</si>
  <si>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</si>
  <si>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</si>
  <si>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</si>
  <si>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</si>
  <si>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</si>
  <si>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</si>
  <si>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</si>
  <si>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</si>
  <si>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</si>
  <si>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</si>
  <si>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</si>
  <si>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</si>
  <si>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</si>
  <si>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</si>
  <si>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</si>
  <si>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</si>
  <si>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</si>
  <si>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</si>
  <si>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</si>
  <si>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</si>
  <si>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</si>
  <si>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</si>
  <si>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</si>
  <si>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</si>
  <si>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</si>
  <si>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</si>
  <si>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</si>
  <si>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</si>
  <si>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</si>
  <si>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</si>
  <si>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</si>
  <si>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</si>
  <si>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</si>
  <si>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</si>
  <si>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</si>
  <si>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</si>
  <si>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</si>
  <si>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</si>
  <si>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</si>
  <si>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</si>
  <si>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</si>
  <si>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</si>
  <si>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</si>
  <si>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</si>
  <si>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</si>
  <si>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</si>
  <si>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</si>
  <si>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</si>
  <si>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</si>
  <si>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</si>
  <si>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</si>
  <si>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</si>
  <si>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</si>
  <si>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</si>
  <si>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</si>
  <si>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</si>
  <si>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</si>
  <si>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</si>
  <si>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</si>
  <si>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</si>
  <si>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</si>
  <si>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</si>
  <si>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</si>
  <si>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</si>
  <si>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</si>
  <si>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</si>
  <si>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</si>
  <si>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</si>
  <si>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</si>
  <si>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</si>
  <si>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</si>
  <si>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</si>
  <si>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</si>
  <si>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</si>
  <si>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</si>
  <si>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</si>
  <si>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</si>
  <si>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</si>
  <si>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</si>
  <si>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</si>
  <si>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</si>
  <si>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</si>
  <si>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</si>
  <si>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</si>
  <si>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</si>
  <si>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</si>
  <si>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</si>
  <si>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</si>
  <si>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</si>
  <si>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</si>
  <si>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</si>
  <si>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</si>
  <si>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</si>
  <si>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</si>
  <si>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</si>
  <si>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</si>
  <si>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</si>
  <si>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</si>
  <si>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</si>
  <si>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</si>
  <si>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</si>
  <si>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</si>
  <si>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</si>
  <si>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</si>
  <si>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</si>
  <si>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</si>
  <si>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</si>
  <si>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</si>
  <si>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</si>
  <si>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</si>
  <si>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</si>
  <si>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</si>
  <si>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</si>
  <si>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</si>
  <si>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</si>
  <si>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</si>
  <si>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</si>
  <si>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</si>
  <si>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</si>
  <si>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</si>
  <si>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</si>
  <si>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</si>
  <si>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</si>
  <si>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</si>
  <si>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</si>
  <si>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</si>
  <si>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</si>
  <si>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</si>
  <si>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</si>
  <si>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</si>
  <si>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</si>
  <si>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</si>
  <si>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</si>
  <si>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</si>
  <si>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</si>
  <si>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</si>
  <si>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</si>
  <si>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</si>
  <si>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</si>
  <si>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</si>
  <si>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</si>
  <si>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</si>
  <si>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</si>
  <si>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</si>
  <si>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</si>
  <si>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</si>
  <si>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</si>
  <si>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</si>
  <si>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</si>
  <si>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</si>
  <si>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</si>
  <si>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</si>
  <si>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</si>
  <si>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</si>
  <si>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</si>
  <si>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</si>
  <si>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</si>
  <si>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</si>
  <si>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</si>
  <si>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</si>
  <si>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</si>
  <si>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</si>
  <si>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</si>
  <si>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</si>
  <si>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</si>
  <si>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</si>
  <si>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</si>
  <si>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</si>
  <si>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</si>
  <si>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</si>
  <si>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</si>
  <si>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</si>
  <si>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</si>
  <si>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</si>
  <si>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</si>
  <si>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</si>
  <si>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</si>
  <si>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</si>
  <si>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</si>
  <si>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</si>
  <si>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</si>
  <si>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</si>
  <si>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</si>
  <si>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</si>
  <si>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</si>
  <si>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</si>
  <si>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</si>
  <si>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</si>
  <si>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</si>
  <si>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</si>
  <si>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</si>
  <si>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</si>
  <si>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</si>
  <si>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</si>
  <si>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</si>
  <si>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</si>
  <si>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</si>
  <si>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</si>
  <si>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</si>
  <si>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</si>
  <si>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</si>
  <si>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</si>
  <si>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</si>
  <si>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</si>
  <si>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</si>
  <si>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</si>
  <si>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</si>
  <si>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</si>
  <si>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</si>
  <si>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</si>
  <si>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</si>
  <si>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</si>
  <si>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</si>
  <si>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</si>
  <si>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</si>
  <si>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</si>
  <si>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</si>
  <si>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</si>
  <si>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</si>
  <si>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</si>
  <si>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</si>
  <si>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</si>
  <si>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</si>
  <si>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</si>
  <si>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</si>
  <si>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</si>
  <si>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</si>
  <si>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</si>
  <si>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</si>
  <si>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</si>
  <si>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</si>
  <si>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</si>
  <si>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</si>
  <si>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</si>
  <si>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</si>
  <si>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</si>
  <si>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</si>
  <si>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</si>
  <si>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</si>
  <si>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</si>
  <si>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</si>
  <si>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</si>
  <si>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</si>
  <si>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</si>
  <si>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</si>
  <si>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</si>
  <si>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</si>
  <si>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</si>
  <si>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</si>
  <si>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</si>
  <si>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</si>
  <si>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</si>
  <si>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</si>
  <si>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</si>
  <si>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</si>
  <si>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</si>
  <si>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</si>
  <si>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</si>
  <si>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</si>
  <si>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</si>
  <si>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</si>
  <si>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</si>
  <si>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</si>
  <si>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</si>
  <si>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</si>
  <si>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</si>
  <si>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</si>
  <si>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</si>
  <si>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</si>
  <si>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</si>
  <si>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</si>
  <si>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</si>
  <si>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</si>
  <si>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</si>
  <si>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</si>
  <si>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</si>
  <si>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</si>
  <si>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</si>
  <si>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</si>
  <si>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</si>
  <si>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</si>
  <si>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</si>
  <si>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</si>
  <si>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</si>
  <si>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</si>
  <si>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</si>
  <si>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</si>
  <si>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</si>
  <si>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</si>
  <si>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</si>
  <si>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</si>
  <si>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</si>
  <si>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</si>
  <si>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</si>
  <si>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</si>
  <si>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</si>
  <si>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</si>
  <si>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</si>
  <si>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</si>
  <si>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</si>
  <si>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</si>
  <si>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</si>
  <si>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</si>
  <si>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</si>
  <si>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</si>
  <si>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</si>
  <si>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</si>
  <si>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</si>
  <si>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</si>
  <si>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</si>
  <si>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</si>
  <si>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</si>
  <si>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</si>
  <si>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</si>
  <si>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</si>
  <si>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</si>
  <si>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</si>
  <si>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</si>
  <si>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</si>
  <si>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</si>
  <si>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</si>
  <si>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</si>
  <si>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</si>
  <si>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</si>
  <si>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</si>
  <si>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</si>
  <si>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</si>
  <si>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</si>
  <si>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</si>
  <si>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</si>
  <si>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</si>
  <si>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</si>
  <si>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</si>
  <si>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</si>
  <si>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</si>
  <si>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</si>
  <si>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</si>
  <si>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</si>
  <si>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</si>
  <si>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</si>
  <si>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</si>
  <si>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</si>
  <si>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</si>
  <si>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</si>
  <si>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</si>
  <si>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</si>
  <si>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</si>
  <si>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</si>
  <si>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</si>
  <si>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</si>
  <si>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</si>
  <si>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</si>
  <si>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</si>
  <si>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</si>
  <si>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</si>
  <si>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</si>
  <si>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</si>
  <si>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</si>
  <si>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</si>
  <si>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</si>
  <si>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</si>
  <si>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</si>
  <si>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</si>
  <si>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</si>
  <si>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</si>
  <si>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</si>
  <si>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</si>
  <si>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</si>
  <si>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</si>
  <si>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</si>
  <si>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</si>
  <si>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</si>
  <si>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</si>
  <si>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</si>
  <si>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</si>
  <si>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</si>
  <si>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</si>
  <si>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</si>
  <si>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</si>
  <si>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</si>
  <si>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</si>
  <si>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</si>
  <si>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</si>
  <si>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</si>
  <si>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</si>
  <si>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</si>
  <si>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</si>
  <si>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</si>
  <si>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</si>
  <si>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</si>
  <si>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</si>
  <si>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</si>
  <si>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</si>
  <si>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</si>
  <si>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</si>
  <si>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</si>
  <si>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</si>
  <si>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</si>
  <si>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</si>
  <si>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</si>
  <si>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</si>
  <si>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</si>
  <si>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</si>
  <si>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</si>
  <si>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</si>
  <si>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</si>
  <si>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</si>
  <si>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</si>
  <si>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</si>
  <si>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</si>
  <si>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</si>
  <si>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</si>
  <si>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</si>
  <si>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</si>
  <si>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</si>
  <si>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</si>
  <si>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</si>
  <si>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</si>
  <si>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</si>
  <si>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</si>
  <si>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</si>
  <si>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</si>
  <si>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</si>
  <si>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</si>
  <si>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</si>
  <si>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</si>
  <si>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</si>
  <si>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</si>
  <si>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</si>
  <si>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</si>
  <si>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</si>
  <si>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</si>
  <si>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</si>
  <si>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</si>
  <si>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</si>
  <si>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</si>
  <si>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</si>
  <si>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</si>
  <si>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</si>
  <si>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</si>
  <si>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</si>
  <si>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</si>
  <si>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</si>
  <si>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</si>
  <si>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</si>
  <si>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</si>
  <si>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</si>
  <si>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</si>
  <si>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</si>
  <si>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</si>
  <si>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</si>
  <si>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</si>
  <si>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</si>
  <si>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</si>
  <si>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</si>
  <si>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</si>
  <si>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</si>
  <si>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</si>
  <si>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</si>
  <si>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</si>
  <si>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</si>
  <si>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</si>
  <si>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</si>
  <si>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</si>
  <si>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</si>
  <si>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</si>
  <si>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</si>
  <si>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</si>
  <si>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</si>
  <si>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</si>
  <si>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</si>
  <si>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</si>
  <si>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</si>
  <si>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</si>
  <si>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</si>
  <si>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</si>
  <si>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</si>
  <si>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</si>
  <si>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</si>
  <si>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</si>
  <si>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</si>
  <si>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</si>
  <si>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</si>
  <si>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</si>
  <si>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</si>
  <si>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</si>
  <si>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</si>
  <si>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</si>
  <si>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</si>
  <si>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</si>
  <si>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</si>
  <si>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</si>
  <si>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</si>
  <si>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</si>
  <si>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</si>
  <si>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</si>
  <si>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</si>
  <si>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</si>
  <si>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</si>
  <si>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</si>
  <si>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</si>
  <si>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</si>
  <si>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</si>
  <si>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</si>
  <si>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</si>
  <si>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</si>
  <si>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</si>
  <si>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</si>
  <si>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</si>
  <si>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</si>
  <si>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</si>
  <si>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</si>
  <si>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</si>
  <si>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</si>
  <si>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</si>
  <si>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</si>
  <si>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</si>
  <si>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</si>
  <si>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</si>
  <si>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</si>
  <si>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</si>
  <si>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</si>
  <si>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</si>
  <si>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</si>
  <si>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</si>
  <si>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</si>
  <si>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</si>
  <si>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</si>
  <si>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</si>
  <si>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</si>
  <si>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</si>
  <si>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</si>
  <si>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</si>
  <si>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</si>
  <si>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</si>
  <si>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</si>
  <si>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</si>
  <si>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</si>
  <si>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</si>
  <si>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</si>
  <si>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</si>
  <si>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</si>
  <si>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</si>
  <si>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</si>
  <si>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</si>
  <si>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</si>
  <si>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</si>
  <si>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</si>
  <si>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</si>
  <si>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</si>
  <si>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</si>
  <si>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</si>
  <si>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</si>
  <si>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</si>
  <si>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</si>
  <si>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</si>
  <si>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</si>
  <si>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</si>
  <si>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</si>
  <si>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</si>
  <si>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</si>
  <si>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</si>
  <si>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</si>
  <si>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</si>
  <si>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</si>
  <si>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</si>
  <si>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</si>
  <si>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</si>
  <si>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</si>
  <si>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</si>
  <si>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</si>
  <si>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</si>
  <si>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</si>
  <si>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</si>
  <si>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</si>
  <si>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</si>
  <si>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</si>
  <si>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</si>
  <si>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</si>
  <si>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</si>
  <si>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</si>
  <si>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</si>
  <si>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</si>
  <si>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</si>
  <si>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</si>
  <si>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</si>
  <si>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</si>
  <si>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</si>
  <si>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</si>
  <si>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</si>
  <si>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</si>
  <si>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</si>
  <si>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</si>
  <si>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</si>
  <si>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</si>
  <si>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</si>
  <si>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</si>
  <si>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</si>
  <si>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</si>
  <si>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</si>
  <si>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</si>
  <si>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</si>
  <si>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</si>
  <si>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</si>
  <si>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</si>
  <si>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</si>
  <si>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</si>
  <si>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</si>
  <si>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</si>
  <si>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</si>
  <si>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</si>
  <si>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</si>
  <si>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</si>
  <si>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</si>
  <si>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</si>
  <si>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</si>
  <si>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</si>
  <si>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</si>
  <si>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</si>
  <si>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</si>
  <si>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</si>
  <si>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</si>
  <si>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</si>
  <si>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</si>
  <si>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</si>
  <si>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</si>
  <si>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</si>
  <si>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</si>
  <si>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</si>
  <si>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</si>
  <si>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</si>
  <si>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</si>
  <si>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</si>
  <si>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</si>
  <si>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</si>
  <si>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</si>
  <si>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</si>
  <si>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</si>
  <si>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</si>
  <si>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</si>
  <si>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</si>
  <si>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</si>
  <si>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</si>
  <si>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</si>
  <si>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</si>
  <si>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</si>
  <si>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</si>
  <si>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</si>
  <si>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</si>
  <si>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</si>
  <si>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</si>
  <si>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</si>
  <si>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</si>
  <si>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</si>
  <si>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</si>
  <si>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</si>
  <si>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</si>
  <si>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</si>
  <si>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</si>
  <si>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</si>
  <si>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</si>
  <si>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</si>
  <si>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</si>
  <si>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</si>
  <si>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</si>
  <si>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</si>
  <si>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</si>
  <si>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</si>
  <si>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</si>
  <si>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</si>
  <si>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</si>
  <si>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</si>
  <si>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</si>
  <si>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</si>
  <si>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</si>
  <si>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</si>
  <si>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</si>
  <si>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</si>
  <si>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</si>
  <si>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</si>
  <si>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</si>
  <si>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</si>
  <si>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</si>
  <si>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</si>
  <si>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</si>
  <si>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</si>
  <si>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</si>
  <si>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</si>
  <si>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</si>
  <si>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</si>
  <si>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</si>
  <si>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</si>
  <si>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</si>
  <si>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</si>
  <si>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</si>
  <si>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</si>
  <si>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</si>
  <si>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</si>
  <si>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</si>
  <si>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</si>
  <si>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</si>
  <si>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</si>
  <si>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</si>
  <si>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</si>
  <si>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</si>
  <si>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</si>
  <si>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</si>
  <si>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</si>
  <si>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</si>
  <si>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</si>
  <si>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</si>
  <si>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</si>
  <si>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</si>
  <si>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</si>
  <si>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</si>
  <si>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</si>
  <si>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</si>
  <si>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</si>
  <si>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</si>
  <si>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</si>
  <si>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</si>
  <si>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</si>
  <si>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</si>
  <si>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</si>
  <si>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</si>
  <si>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</si>
  <si>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</si>
  <si>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</si>
  <si>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</si>
  <si>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</si>
  <si>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</si>
  <si>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</si>
  <si>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</si>
  <si>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</si>
  <si>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</si>
  <si>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</si>
  <si>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</si>
  <si>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</si>
  <si>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</si>
  <si>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</si>
  <si>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</si>
  <si>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</si>
  <si>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</si>
  <si>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</si>
  <si>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</si>
  <si>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</si>
  <si>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</si>
  <si>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</si>
  <si>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</si>
  <si>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</si>
  <si>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</si>
  <si>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</si>
  <si>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</si>
  <si>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</si>
  <si>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</si>
  <si>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</si>
  <si>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</si>
  <si>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</si>
  <si>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</si>
  <si>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</si>
  <si>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</si>
  <si>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</si>
  <si>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</si>
  <si>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</si>
  <si>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</si>
  <si>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</si>
  <si>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</si>
  <si>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</si>
  <si>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</si>
  <si>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</si>
  <si>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</si>
  <si>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</si>
  <si>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</si>
  <si>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</si>
  <si>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</si>
  <si>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</si>
  <si>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</si>
  <si>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</si>
  <si>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</si>
  <si>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</si>
  <si>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</si>
  <si>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</si>
  <si>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</si>
  <si>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</si>
  <si>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</si>
  <si>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</si>
  <si>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</si>
  <si>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</si>
  <si>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</si>
  <si>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</si>
  <si>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</si>
  <si>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</si>
  <si>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</si>
  <si>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</si>
  <si>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</si>
  <si>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</si>
  <si>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</si>
  <si>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</si>
  <si>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</si>
  <si>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</si>
  <si>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</si>
  <si>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</si>
  <si>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</si>
  <si>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</si>
  <si>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</si>
  <si>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</si>
  <si>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</si>
  <si>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</si>
  <si>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</si>
  <si>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</si>
  <si>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</si>
  <si>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</si>
  <si>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</si>
  <si>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</si>
  <si>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</si>
  <si>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</si>
  <si>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</si>
  <si>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</si>
  <si>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</si>
  <si>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</si>
  <si>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</si>
  <si>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</si>
  <si>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</si>
  <si>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</si>
  <si>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</si>
  <si>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</si>
  <si>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</si>
  <si>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</si>
  <si>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</si>
  <si>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</si>
  <si>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</si>
  <si>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</si>
  <si>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</si>
  <si>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</si>
  <si>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</si>
  <si>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</si>
  <si>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</si>
  <si>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</si>
  <si>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</si>
  <si>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</si>
  <si>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</si>
  <si>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</si>
  <si>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</si>
  <si>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</si>
  <si>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</si>
  <si>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</si>
  <si>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</si>
  <si>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</si>
  <si>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</si>
  <si>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</si>
  <si>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</si>
  <si>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</si>
  <si>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</si>
  <si>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</si>
  <si>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</si>
  <si>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</si>
  <si>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</si>
  <si>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</si>
  <si>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</si>
  <si>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</si>
  <si>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</si>
  <si>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</si>
  <si>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</si>
  <si>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</si>
  <si>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</si>
  <si>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</si>
  <si>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</si>
  <si>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</si>
  <si>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</si>
  <si>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</si>
  <si>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</si>
  <si>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</si>
  <si>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</si>
  <si>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</si>
  <si>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</si>
  <si>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</si>
  <si>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</si>
  <si>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</si>
  <si>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</si>
  <si>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</si>
  <si>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</si>
  <si>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</si>
  <si>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</si>
  <si>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</si>
  <si>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</si>
  <si>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</si>
  <si>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</si>
  <si>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</si>
  <si>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</si>
  <si>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</si>
  <si>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</si>
  <si>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</si>
  <si>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</si>
  <si>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</si>
  <si>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</si>
  <si>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</si>
  <si>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</si>
  <si>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</si>
  <si>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</si>
  <si>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</si>
  <si>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</si>
  <si>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</si>
  <si>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</si>
  <si>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</si>
  <si>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</si>
  <si>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</si>
  <si>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</si>
  <si>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</si>
  <si>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</si>
  <si>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</si>
  <si>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</si>
  <si>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</si>
  <si>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</si>
  <si>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</si>
  <si>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</si>
  <si>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</si>
  <si>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</si>
  <si>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</si>
  <si>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</si>
  <si>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</si>
  <si>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</si>
  <si>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</si>
  <si>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</si>
  <si>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</si>
  <si>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</si>
  <si>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</si>
  <si>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</si>
  <si>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</si>
  <si>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</si>
  <si>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</si>
  <si>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</si>
  <si>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</si>
  <si>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</si>
  <si>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</si>
  <si>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</si>
  <si>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</si>
  <si>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</si>
  <si>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</si>
  <si>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</si>
  <si>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</si>
  <si>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</si>
  <si>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</si>
  <si>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</si>
  <si>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</si>
  <si>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</si>
  <si>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</si>
  <si>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</si>
  <si>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</si>
  <si>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</si>
  <si>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</si>
  <si>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</si>
  <si>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</si>
  <si>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</si>
  <si>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</si>
  <si>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</si>
  <si>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</si>
  <si>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</si>
  <si>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</si>
  <si>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</si>
  <si>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</si>
  <si>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</si>
  <si>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</si>
  <si>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</si>
  <si>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</si>
  <si>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</si>
  <si>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</si>
  <si>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</si>
  <si>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</si>
  <si>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</si>
  <si>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</si>
  <si>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</si>
  <si>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</si>
  <si>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</si>
  <si>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</si>
  <si>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</si>
  <si>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</si>
  <si>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</si>
  <si>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</si>
  <si>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</si>
  <si>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</si>
  <si>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</si>
  <si>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</si>
  <si>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</si>
  <si>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</si>
  <si>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</si>
  <si>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</si>
  <si>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</si>
  <si>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</si>
  <si>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</si>
  <si>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</si>
  <si>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</si>
  <si>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</si>
  <si>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</si>
  <si>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</si>
  <si>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</si>
  <si>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</si>
  <si>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</si>
  <si>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</si>
  <si>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</si>
  <si>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</si>
  <si>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</si>
  <si>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</si>
  <si>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</si>
  <si>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</si>
  <si>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</si>
  <si>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</si>
  <si>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</si>
  <si>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</si>
  <si>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</si>
  <si>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</si>
  <si>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</si>
  <si>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</si>
  <si>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</si>
  <si>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</si>
  <si>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</si>
  <si>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</si>
  <si>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</si>
  <si>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</si>
  <si>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</si>
  <si>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</si>
  <si>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</si>
  <si>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</si>
  <si>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</si>
  <si>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</si>
  <si>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</si>
  <si>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</si>
  <si>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</si>
  <si>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</si>
  <si>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</si>
  <si>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</si>
  <si>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</si>
  <si>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</si>
  <si>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</si>
  <si>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</si>
  <si>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</si>
  <si>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</si>
  <si>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</si>
  <si>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</si>
  <si>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</si>
  <si>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</si>
  <si>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</si>
  <si>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</si>
  <si>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</si>
  <si>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</si>
  <si>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</si>
  <si>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</si>
  <si>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</si>
  <si>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</si>
  <si>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</si>
  <si>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</si>
  <si>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</si>
  <si>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</si>
  <si>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</si>
  <si>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</si>
  <si>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</si>
  <si>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</si>
  <si>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</si>
  <si>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</si>
  <si>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</si>
  <si>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</si>
  <si>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</si>
  <si>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</si>
  <si>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</si>
  <si>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</si>
  <si>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</si>
  <si>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</si>
  <si>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</si>
  <si>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</si>
  <si>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</si>
  <si>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</si>
  <si>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</si>
  <si>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</si>
  <si>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</si>
  <si>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</si>
  <si>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</si>
  <si>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</si>
  <si>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</si>
  <si>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</si>
  <si>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</si>
  <si>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</si>
  <si>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</si>
  <si>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</si>
  <si>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</si>
  <si>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</si>
  <si>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</si>
  <si>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</si>
  <si>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</si>
  <si>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</si>
  <si>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</si>
  <si>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</si>
  <si>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</si>
  <si>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</si>
  <si>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</si>
  <si>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</si>
  <si>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</si>
  <si>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</si>
  <si>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</si>
  <si>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</si>
  <si>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</si>
  <si>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</si>
  <si>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</si>
  <si>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</si>
  <si>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</si>
  <si>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</si>
  <si>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</si>
  <si>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</si>
  <si>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</si>
  <si>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</si>
  <si>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</si>
  <si>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</si>
  <si>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</si>
  <si>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</si>
  <si>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</si>
  <si>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</si>
  <si>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</si>
  <si>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</si>
  <si>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</si>
  <si>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</si>
  <si>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</si>
  <si>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</si>
  <si>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</si>
  <si>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</si>
  <si>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</si>
  <si>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</si>
  <si>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</si>
  <si>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</si>
  <si>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</si>
  <si>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</si>
  <si>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</si>
  <si>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</si>
  <si>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</si>
  <si>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</si>
  <si>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</si>
  <si>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</si>
  <si>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</si>
  <si>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</si>
  <si>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</si>
  <si>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</si>
  <si>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</si>
  <si>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</si>
  <si>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</si>
  <si>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</si>
  <si>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</si>
  <si>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</si>
  <si>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</si>
  <si>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</si>
  <si>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</si>
  <si>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</si>
  <si>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</si>
  <si>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</si>
  <si>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</si>
  <si>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</si>
  <si>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</si>
  <si>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</si>
  <si>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</si>
  <si>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</si>
  <si>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</si>
  <si>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</si>
  <si>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</si>
  <si>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</si>
  <si>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</si>
  <si>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</si>
  <si>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</si>
  <si>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</si>
  <si>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</si>
  <si>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</si>
  <si>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</si>
  <si>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</si>
  <si>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</si>
  <si>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</si>
  <si>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</si>
  <si>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</si>
  <si>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</si>
  <si>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</si>
  <si>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</si>
  <si>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</si>
  <si>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</si>
  <si>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</si>
  <si>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</si>
  <si>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</si>
  <si>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</si>
  <si>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</si>
  <si>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</si>
  <si>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</si>
  <si>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</si>
  <si>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</si>
  <si>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</si>
  <si>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</si>
  <si>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</si>
  <si>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</si>
  <si>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</si>
  <si>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</si>
  <si>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</si>
  <si>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</si>
  <si>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</si>
  <si>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</si>
  <si>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</si>
  <si>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</si>
  <si>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</si>
  <si>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</si>
  <si>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</si>
  <si>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</si>
  <si>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</si>
  <si>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</si>
  <si>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</si>
  <si>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</si>
  <si>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</si>
  <si>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</si>
  <si>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</si>
  <si>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</si>
  <si>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</si>
  <si>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</si>
  <si>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</si>
  <si>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</si>
  <si>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</si>
  <si>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</si>
  <si>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</si>
  <si>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</si>
  <si>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</si>
  <si>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</si>
  <si>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</si>
  <si>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</si>
  <si>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</si>
  <si>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</si>
  <si>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</si>
  <si>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</si>
  <si>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</si>
  <si>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</si>
  <si>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</si>
  <si>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</si>
  <si>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</si>
  <si>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</si>
  <si>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</si>
  <si>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</si>
  <si>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</si>
  <si>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</si>
  <si>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</si>
  <si>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</si>
  <si>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</si>
  <si>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</si>
  <si>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</si>
  <si>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</si>
  <si>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</si>
  <si>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</si>
  <si>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</si>
  <si>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</si>
  <si>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</si>
  <si>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</si>
  <si>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</si>
  <si>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</si>
  <si>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</si>
  <si>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</si>
  <si>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</si>
  <si>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</si>
  <si>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</si>
  <si>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</si>
  <si>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</si>
  <si>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</si>
  <si>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</si>
  <si>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</si>
  <si>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</si>
  <si>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</si>
  <si>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</si>
  <si>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</si>
  <si>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</si>
  <si>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</si>
  <si>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</si>
  <si>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</si>
  <si>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</si>
  <si>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</si>
  <si>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</si>
  <si>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</si>
  <si>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</si>
  <si>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</si>
  <si>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</si>
  <si>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</si>
  <si>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</si>
  <si>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</si>
  <si>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</si>
  <si>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</si>
  <si>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</si>
  <si>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</si>
  <si>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</si>
  <si>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</si>
  <si>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</si>
  <si>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</si>
  <si>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</si>
  <si>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</si>
  <si>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</si>
  <si>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</si>
  <si>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</si>
  <si>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</si>
  <si>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</si>
  <si>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</si>
  <si>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</si>
  <si>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</si>
  <si>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</si>
  <si>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</si>
  <si>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</si>
  <si>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</si>
  <si>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</si>
  <si>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</si>
  <si>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</si>
  <si>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</si>
  <si>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</si>
  <si>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</si>
  <si>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</si>
  <si>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</si>
  <si>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</si>
  <si>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</si>
  <si>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</si>
  <si>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</si>
  <si>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</si>
  <si>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</si>
  <si>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</si>
  <si>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</si>
  <si>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</si>
  <si>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</si>
  <si>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</si>
  <si>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</si>
  <si>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</si>
  <si>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</si>
  <si>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</si>
  <si>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</si>
  <si>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</si>
  <si>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</si>
  <si>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</si>
  <si>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</si>
  <si>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</si>
  <si>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</si>
  <si>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</si>
  <si>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</si>
  <si>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</si>
  <si>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</si>
  <si>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</si>
  <si>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</si>
  <si>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</si>
  <si>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</si>
  <si>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</si>
  <si>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</si>
  <si>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</si>
  <si>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</si>
  <si>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</si>
  <si>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</si>
  <si>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</si>
  <si>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</si>
  <si>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</si>
  <si>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</si>
  <si>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</si>
  <si>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!id</t>
  </si>
  <si>
    <t xml:space="preserve"> plainEnglishPhrase</t>
  </si>
  <si>
    <t xml:space="preserve"> history</t>
  </si>
  <si>
    <t xml:space="preserve"> fairMarketValuePerCredit</t>
  </si>
  <si>
    <t xml:space="preserve"> numberOfCredits</t>
  </si>
  <si>
    <t xml:space="preserve"> creditTradeTypeId</t>
  </si>
  <si>
    <t xml:space="preserve"> tradeEffectiveDate</t>
  </si>
  <si>
    <t xml:space="preserve"> respondent</t>
  </si>
  <si>
    <t xml:space="preserve"> initiator</t>
  </si>
  <si>
    <t xml:space="preserve"> creditTradeStatusId</t>
  </si>
  <si>
    <t xml:space="preserve"> id</t>
  </si>
  <si>
    <t xml:space="preserve"> isInternalHistoryRecord</t>
  </si>
  <si>
    <t xml:space="preserve"> note</t>
  </si>
  <si>
    <t xml:space="preserve"> newFairMarketValuePerCredit</t>
  </si>
  <si>
    <t xml:space="preserve"> newNumberOfCredits</t>
  </si>
  <si>
    <t xml:space="preserve"> newTradeEffectiveDate</t>
  </si>
  <si>
    <t xml:space="preserve"> creditTradeUpdateTime</t>
  </si>
  <si>
    <t xml:space="preserve"> userId</t>
  </si>
  <si>
    <t xml:space="preserve"> effectiveDate</t>
  </si>
  <si>
    <t xml:space="preserve"> fuelSupplierId</t>
  </si>
  <si>
    <t xml:space="preserve"> creditTradeId</t>
  </si>
  <si>
    <t xml:space="preserve"> endDate</t>
  </si>
  <si>
    <t xml:space="preserve"> encumberedCredits</t>
  </si>
  <si>
    <t xml:space="preserve"> validatedCredits</t>
  </si>
  <si>
    <t>FS</t>
  </si>
  <si>
    <t>!FSStatus</t>
  </si>
  <si>
    <t>!FSType</t>
  </si>
  <si>
    <t>!FSActions</t>
  </si>
  <si>
    <t>BC Hydro</t>
  </si>
  <si>
    <t>HTEC</t>
  </si>
  <si>
    <t>Suncor</t>
  </si>
  <si>
    <t>Superior Propane</t>
  </si>
  <si>
    <t>Active</t>
  </si>
  <si>
    <t>Archived</t>
  </si>
  <si>
    <t>Part 3 Fuel Supplier</t>
  </si>
  <si>
    <t>Petroleum Fuel Supplier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</si>
  <si>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</si>
  <si>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</si>
  <si>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</si>
  <si>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</si>
  <si>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</si>
  <si>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FSType</t>
  </si>
  <si>
    <t>Low Carbon Fuel Supplier</t>
  </si>
  <si>
    <t>A Part 3 Fuel Supplier</t>
  </si>
  <si>
    <t>A Petroleum Fuel Supplier</t>
  </si>
  <si>
    <t>A Low Carbon Fuel Supplier, including both Part 3 and Petroleum Fuel Suppliers.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</si>
  <si>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</si>
  <si>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</si>
  <si>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</si>
  <si>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</si>
  <si>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!roleName</t>
  </si>
  <si>
    <t>FSContactRole</t>
  </si>
  <si>
    <t>NotType</t>
  </si>
  <si>
    <t>OppStatus</t>
  </si>
  <si>
    <t>Draft</t>
  </si>
  <si>
    <t>Published</t>
  </si>
  <si>
    <t>Un-Published</t>
  </si>
  <si>
    <t>Cancelled</t>
  </si>
  <si>
    <t>The Opportunity has been created but has not yet been published.</t>
  </si>
  <si>
    <t>The Opportunity has been created and published for other Fuel Suppliers to see.</t>
  </si>
  <si>
    <t>The Opportunity was drafted but never published.</t>
  </si>
  <si>
    <t>The Opportunity has previously been published, subsequently removed from publication, and is no longer visible to other Fuel Suppliers.</t>
  </si>
  <si>
    <t>FSContact</t>
  </si>
  <si>
    <t>!FSName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</si>
  <si>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</si>
  <si>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</si>
  <si>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</si>
  <si>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</si>
  <si>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</si>
  <si>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</si>
  <si>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</si>
  <si>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</si>
  <si>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</si>
  <si>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</si>
  <si>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</si>
  <si>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</si>
  <si>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</si>
  <si>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</si>
  <si>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</si>
  <si>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</si>
  <si>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</si>
  <si>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</si>
  <si>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</si>
  <si>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</si>
  <si>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</si>
  <si>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</si>
  <si>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BC Transit</t>
  </si>
  <si>
    <t>Cal-Gas Inc., Canwest Propane</t>
  </si>
  <si>
    <t>Chevron Canada Limited</t>
  </si>
  <si>
    <t>Consolidated Biofuels Ltd.</t>
  </si>
  <si>
    <t>eco-Options Energy Cooperative</t>
  </si>
  <si>
    <t>Emterra Environmental</t>
  </si>
  <si>
    <t>Federated Co-Operatives Ltd.</t>
  </si>
  <si>
    <t>FortisBC Energy Inc.</t>
  </si>
  <si>
    <t>HTEC Hydrogen Technology &amp;</t>
  </si>
  <si>
    <t>Energy Corporation</t>
  </si>
  <si>
    <t>Husky Oil Ltd.</t>
  </si>
  <si>
    <t>Imperial Oil Limited &amp; McColl</t>
  </si>
  <si>
    <t>Frontenac Petroleum Inc.</t>
  </si>
  <si>
    <t>Powerex Corporation</t>
  </si>
  <si>
    <t>Powertech Labs Inc.</t>
  </si>
  <si>
    <t>Shell Canada Products</t>
  </si>
  <si>
    <t>Smithrite Disposal Limited</t>
  </si>
  <si>
    <t>South Coast British Columbia</t>
  </si>
  <si>
    <t>Transportation Authority (TransLink)</t>
  </si>
  <si>
    <t>Suncor Energy Products Partnership</t>
  </si>
  <si>
    <t>Super Save Group</t>
  </si>
  <si>
    <t>shortName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</si>
  <si>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</si>
  <si>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</si>
  <si>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</si>
  <si>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</si>
  <si>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</si>
  <si>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</si>
  <si>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</si>
  <si>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</si>
  <si>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</si>
  <si>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</si>
  <si>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</si>
  <si>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</si>
  <si>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</si>
  <si>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</si>
  <si>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</si>
  <si>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</si>
  <si>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</si>
  <si>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</si>
  <si>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</si>
  <si>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</si>
  <si>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</si>
  <si>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</si>
  <si>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</si>
  <si>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</si>
  <si>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</si>
  <si>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</si>
  <si>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</si>
  <si>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</si>
  <si>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</si>
  <si>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</si>
  <si>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</si>
  <si>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</si>
  <si>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</si>
  <si>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</si>
  <si>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</si>
  <si>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</si>
  <si>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</si>
  <si>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</si>
  <si>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</si>
  <si>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</si>
  <si>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</si>
  <si>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</si>
  <si>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</si>
  <si>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</si>
  <si>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</si>
  <si>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</si>
  <si>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</si>
  <si>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</si>
  <si>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</si>
  <si>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</si>
  <si>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</si>
  <si>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</si>
  <si>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</si>
  <si>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</si>
  <si>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</si>
  <si>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</si>
  <si>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</si>
  <si>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</si>
  <si>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</si>
  <si>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</si>
  <si>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</si>
  <si>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</si>
  <si>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fuelSupplierId</t>
  </si>
  <si>
    <t>userId</t>
  </si>
  <si>
    <t>!Id</t>
  </si>
  <si>
    <t>Executive Director</t>
  </si>
  <si>
    <t>!NameID</t>
  </si>
  <si>
    <t>250-479-3248</t>
  </si>
  <si>
    <t>604-902-0102</t>
  </si>
  <si>
    <t>604-867-1929</t>
  </si>
  <si>
    <t>250-658-2562</t>
  </si>
  <si>
    <t>250-935-0877</t>
  </si>
  <si>
    <t>604-850-6658</t>
  </si>
  <si>
    <t>778-239-7557</t>
  </si>
  <si>
    <t>250-762-2801</t>
  </si>
  <si>
    <t>604-608-7600</t>
  </si>
  <si>
    <t>604-702-8988</t>
  </si>
  <si>
    <t>604-869-2662</t>
  </si>
  <si>
    <t>250-282-6487</t>
  </si>
  <si>
    <t>604-277-2361</t>
  </si>
  <si>
    <t>250-668-9586</t>
  </si>
  <si>
    <t>604-830-0080</t>
  </si>
  <si>
    <t>604-585-5465</t>
  </si>
  <si>
    <t>250-715-0535</t>
  </si>
  <si>
    <t>250-764-1111</t>
  </si>
  <si>
    <t>250-345-4901</t>
  </si>
  <si>
    <t>604-516-8137</t>
  </si>
  <si>
    <t>250-858-1778</t>
  </si>
  <si>
    <t>604-572-1332</t>
  </si>
  <si>
    <t>778-240-6764</t>
  </si>
  <si>
    <t>250-754-8824</t>
  </si>
  <si>
    <t>!ContactId</t>
  </si>
  <si>
    <t>status</t>
  </si>
  <si>
    <t>expirationDate</t>
  </si>
  <si>
    <t>displayOrder</t>
  </si>
  <si>
    <t>!id</t>
  </si>
  <si>
    <t>fuelSupplierStatusId</t>
  </si>
  <si>
    <t>fuelSupplierTypeId</t>
  </si>
  <si>
    <t>fuelSupplierActionsTypeId</t>
  </si>
  <si>
    <t>dateCreated</t>
  </si>
  <si>
    <t>commonClientOrgId</t>
  </si>
  <si>
    <t>lastUpdatefromCommonClient</t>
  </si>
  <si>
    <t>corporateAddressLine1</t>
  </si>
  <si>
    <t>corporateAddressLine2</t>
  </si>
  <si>
    <t>corporateAddressCity</t>
  </si>
  <si>
    <t>corporateAddressPostalCode</t>
  </si>
  <si>
    <t>corporateAddressProvince</t>
  </si>
  <si>
    <t>type</t>
  </si>
  <si>
    <t>roleId</t>
  </si>
  <si>
    <t>title</t>
  </si>
  <si>
    <t>notes</t>
  </si>
  <si>
    <t>emailAddress</t>
  </si>
  <si>
    <t>workPhoneNumber</t>
  </si>
  <si>
    <t>mobilePhoneNumber</t>
  </si>
  <si>
    <t>isGovOnlyType</t>
  </si>
  <si>
    <t>permissionId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</si>
</sst>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NumberFormat="1" applyFont="1"/>
    <xf numFmtId="0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3.3984375" bestFit="1" customWidth="1"/>
  </cols>
  <sheetData>
    <row r="1" spans="1:3" x14ac:dyDescent="0.3">
      <c r="A1" t="s">
        <v>2420</v>
      </c>
      <c r="B1" t="s">
        <v>2424</v>
      </c>
      <c r="C1" t="s">
        <v>2461</v>
      </c>
    </row>
    <row r="2" spans="1:3" x14ac:dyDescent="0.3">
      <c r="A2" t="s">
        <v>2440</v>
      </c>
      <c r="B2" t="s">
        <v>432</v>
      </c>
    </row>
    <row r="3" spans="1:3" x14ac:dyDescent="0.3">
      <c r="A3" t="s">
        <v>2441</v>
      </c>
      <c r="B3" t="s">
        <v>432</v>
      </c>
    </row>
    <row r="4" spans="1:3" x14ac:dyDescent="0.3">
      <c r="A4" t="s">
        <v>2442</v>
      </c>
      <c r="B4" t="s">
        <v>2425</v>
      </c>
    </row>
    <row r="5" spans="1:3" x14ac:dyDescent="0.3">
      <c r="A5" t="s">
        <v>2443</v>
      </c>
      <c r="B5" t="s">
        <v>2425</v>
      </c>
    </row>
    <row r="6" spans="1:3" x14ac:dyDescent="0.3">
      <c r="A6" t="s">
        <v>2444</v>
      </c>
      <c r="B6" t="s">
        <v>432</v>
      </c>
    </row>
    <row r="7" spans="1:3" x14ac:dyDescent="0.3">
      <c r="A7" t="s">
        <v>2445</v>
      </c>
      <c r="B7" t="s">
        <v>432</v>
      </c>
    </row>
    <row r="8" spans="1:3" x14ac:dyDescent="0.3">
      <c r="A8" t="s">
        <v>2446</v>
      </c>
      <c r="B8" t="s">
        <v>2425</v>
      </c>
    </row>
    <row r="9" spans="1:3" x14ac:dyDescent="0.3">
      <c r="A9" t="s">
        <v>2447</v>
      </c>
      <c r="B9" t="s">
        <v>2425</v>
      </c>
    </row>
    <row r="10" spans="1:3" x14ac:dyDescent="0.3">
      <c r="A10" t="s">
        <v>2448</v>
      </c>
      <c r="B10" t="s">
        <v>2425</v>
      </c>
    </row>
    <row r="11" spans="1:3" x14ac:dyDescent="0.3">
      <c r="A11" t="s">
        <v>2449</v>
      </c>
      <c r="B11" t="s">
        <v>432</v>
      </c>
    </row>
    <row r="12" spans="1:3" x14ac:dyDescent="0.3">
      <c r="A12" t="s">
        <v>2450</v>
      </c>
      <c r="B12" t="s">
        <v>2425</v>
      </c>
    </row>
    <row r="13" spans="1:3" x14ac:dyDescent="0.3">
      <c r="A13" t="s">
        <v>2451</v>
      </c>
      <c r="B13" t="s">
        <v>2425</v>
      </c>
    </row>
    <row r="14" spans="1:3" x14ac:dyDescent="0.3">
      <c r="A14" t="s">
        <v>2452</v>
      </c>
      <c r="B14" t="s">
        <v>2425</v>
      </c>
    </row>
    <row r="15" spans="1:3" x14ac:dyDescent="0.3">
      <c r="A15" t="s">
        <v>2453</v>
      </c>
      <c r="B15" t="s">
        <v>2425</v>
      </c>
    </row>
    <row r="16" spans="1:3" x14ac:dyDescent="0.3">
      <c r="A16" t="s">
        <v>2454</v>
      </c>
      <c r="B16" t="s">
        <v>2425</v>
      </c>
    </row>
    <row r="17" spans="1:3" x14ac:dyDescent="0.3">
      <c r="A17" t="s">
        <v>2455</v>
      </c>
      <c r="B17" t="s">
        <v>2425</v>
      </c>
    </row>
    <row r="18" spans="1:3" x14ac:dyDescent="0.3">
      <c r="A18" t="s">
        <v>2456</v>
      </c>
      <c r="B18" t="s">
        <v>2425</v>
      </c>
    </row>
    <row r="19" spans="1:3" x14ac:dyDescent="0.3">
      <c r="A19" t="s">
        <v>2457</v>
      </c>
      <c r="B19" t="s">
        <v>2425</v>
      </c>
    </row>
    <row r="20" spans="1:3" x14ac:dyDescent="0.3">
      <c r="A20" t="s">
        <v>2458</v>
      </c>
      <c r="B20" t="s">
        <v>20</v>
      </c>
    </row>
    <row r="21" spans="1:3" x14ac:dyDescent="0.3">
      <c r="A21" t="s">
        <v>2459</v>
      </c>
      <c r="B21" t="s">
        <v>20</v>
      </c>
    </row>
    <row r="22" spans="1:3" x14ac:dyDescent="0.3">
      <c r="A22" t="s">
        <v>2460</v>
      </c>
      <c r="B22" t="s">
        <v>20</v>
      </c>
    </row>
    <row r="23" spans="1:3" x14ac:dyDescent="0.3">
      <c r="A23" t="s">
        <v>2423</v>
      </c>
      <c r="B23" t="s">
        <v>2425</v>
      </c>
      <c r="C23" t="s">
        <v>2425</v>
      </c>
    </row>
    <row r="24" spans="1:3" x14ac:dyDescent="0.3">
      <c r="A24" t="s">
        <v>10</v>
      </c>
      <c r="B24" t="s">
        <v>2425</v>
      </c>
      <c r="C24" t="s">
        <v>2425</v>
      </c>
    </row>
    <row r="25" spans="1:3" x14ac:dyDescent="0.3">
      <c r="A25" t="s">
        <v>2422</v>
      </c>
      <c r="B25" t="s">
        <v>2425</v>
      </c>
      <c r="C25" t="s">
        <v>2425</v>
      </c>
    </row>
    <row r="26" spans="1:3" x14ac:dyDescent="0.3">
      <c r="A26" t="s">
        <v>2391</v>
      </c>
      <c r="B26" t="s">
        <v>2425</v>
      </c>
      <c r="C26" t="s">
        <v>2425</v>
      </c>
    </row>
    <row r="27" spans="1:3" x14ac:dyDescent="0.3">
      <c r="A27" t="s">
        <v>2421</v>
      </c>
      <c r="B27" t="s">
        <v>2425</v>
      </c>
      <c r="C27" t="s">
        <v>2425</v>
      </c>
    </row>
  </sheetData>
  <autoFilter ref="A1:B2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8" customWidth="1"/>
    <col min="3" max="3" width="17.69921875" bestFit="1" customWidth="1"/>
    <col min="4" max="4" width="17.69921875" customWidth="1"/>
    <col min="5" max="5" width="8.59765625" bestFit="1" customWidth="1"/>
    <col min="6" max="6" width="18.5" bestFit="1" customWidth="1"/>
    <col min="7" max="7" width="21.296875" bestFit="1" customWidth="1"/>
    <col min="8" max="8" width="17.296875" bestFit="1" customWidth="1"/>
    <col min="9" max="9" width="17.296875" customWidth="1"/>
    <col min="10" max="10" width="23.59765625" bestFit="1" customWidth="1"/>
    <col min="11" max="11" width="11.796875" style="8" bestFit="1" customWidth="1"/>
    <col min="12" max="12" width="5.89843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12</v>
      </c>
      <c r="D1" s="2" t="s">
        <v>2569</v>
      </c>
      <c r="E1" s="2" t="s">
        <v>2487</v>
      </c>
      <c r="F1" s="2" t="s">
        <v>2666</v>
      </c>
      <c r="G1" s="2" t="s">
        <v>2488</v>
      </c>
      <c r="H1" s="2" t="s">
        <v>2667</v>
      </c>
      <c r="I1" s="2" t="s">
        <v>2489</v>
      </c>
      <c r="J1" s="2" t="s">
        <v>2668</v>
      </c>
      <c r="K1" s="7" t="s">
        <v>2669</v>
      </c>
      <c r="L1" s="2" t="s">
        <v>2665</v>
      </c>
    </row>
    <row r="2" spans="1:12" x14ac:dyDescent="0.3">
      <c r="A2" t="s">
        <v>2486</v>
      </c>
      <c r="B2">
        <f>IF(ISNUMBER(B1),B1+1,1)</f>
        <v>1</v>
      </c>
      <c r="C2" t="s">
        <v>2547</v>
      </c>
      <c r="D2" t="s">
        <v>2573</v>
      </c>
      <c r="E2" t="s">
        <v>2494</v>
      </c>
      <c r="F2">
        <f>VLOOKUP(E2,FuelSupplierStatus.csv!$C:$H,6,FALSE)</f>
        <v>1</v>
      </c>
      <c r="G2" t="s">
        <v>2496</v>
      </c>
      <c r="H2">
        <f>VLOOKUP(G2,FuelSupplierType.csv!$C:$H,6,FALSE)</f>
        <v>1</v>
      </c>
      <c r="I2" t="s">
        <v>2498</v>
      </c>
      <c r="J2">
        <f>VLOOKUP(I2,FuelSupplierActionsType.csv!$C:$H,6,FALSE)</f>
        <v>1</v>
      </c>
      <c r="K2" s="8" t="str">
        <f ca="1">"'"&amp;TEXT(TODAY()-RANDBETWEEN(1200,2000),"yyyy-mm-dd")</f>
        <v>'2013-11-07</v>
      </c>
      <c r="L2">
        <f>B2</f>
        <v>1</v>
      </c>
    </row>
    <row r="3" spans="1:12" x14ac:dyDescent="0.3">
      <c r="A3" t="s">
        <v>2486</v>
      </c>
      <c r="B3">
        <f t="shared" ref="B3:B25" si="0">IF(ISNUMBER(B2),B2+1,1)</f>
        <v>2</v>
      </c>
      <c r="C3" t="s">
        <v>2490</v>
      </c>
      <c r="D3" t="s">
        <v>2490</v>
      </c>
      <c r="E3" t="s">
        <v>2494</v>
      </c>
      <c r="F3">
        <f>VLOOKUP(E3,FuelSupplierStatus.csv!$C:$H,6,FALSE)</f>
        <v>1</v>
      </c>
      <c r="G3" t="s">
        <v>2496</v>
      </c>
      <c r="H3">
        <f>VLOOKUP(G3,FuelSupplierType.csv!$C:$H,6,FALSE)</f>
        <v>1</v>
      </c>
      <c r="I3" t="s">
        <v>2498</v>
      </c>
      <c r="J3">
        <f>VLOOKUP(I3,FuelSupplierActionsType.csv!$C:$H,6,FALSE)</f>
        <v>1</v>
      </c>
      <c r="K3" s="8" t="str">
        <f t="shared" ref="K3:K25" ca="1" si="1">"'"&amp;TEXT(TODAY()-RANDBETWEEN(1200,2000),"yyyy-mm-dd")</f>
        <v>'2012-10-11</v>
      </c>
      <c r="L3">
        <f t="shared" ref="L3:L25" si="2">B3</f>
        <v>2</v>
      </c>
    </row>
    <row r="4" spans="1:12" x14ac:dyDescent="0.3">
      <c r="A4" t="s">
        <v>2486</v>
      </c>
      <c r="B4">
        <f t="shared" si="0"/>
        <v>3</v>
      </c>
      <c r="C4" t="s">
        <v>2548</v>
      </c>
      <c r="D4" t="s">
        <v>2548</v>
      </c>
      <c r="E4" t="s">
        <v>2494</v>
      </c>
      <c r="F4">
        <f>VLOOKUP(E4,FuelSupplierStatus.csv!$C:$H,6,FALSE)</f>
        <v>1</v>
      </c>
      <c r="G4" t="s">
        <v>2496</v>
      </c>
      <c r="H4">
        <f>VLOOKUP(G4,FuelSupplierType.csv!$C:$H,6,FALSE)</f>
        <v>1</v>
      </c>
      <c r="I4" t="s">
        <v>2498</v>
      </c>
      <c r="J4">
        <f>VLOOKUP(I4,FuelSupplierActionsType.csv!$C:$H,6,FALSE)</f>
        <v>1</v>
      </c>
      <c r="K4" s="8" t="str">
        <f t="shared" ca="1" si="1"/>
        <v>'2014-04-09</v>
      </c>
      <c r="L4">
        <f t="shared" si="2"/>
        <v>3</v>
      </c>
    </row>
    <row r="5" spans="1:12" x14ac:dyDescent="0.3">
      <c r="A5" t="s">
        <v>2486</v>
      </c>
      <c r="B5">
        <f t="shared" si="0"/>
        <v>4</v>
      </c>
      <c r="C5" t="s">
        <v>2549</v>
      </c>
      <c r="D5" t="s">
        <v>2581</v>
      </c>
      <c r="E5" t="s">
        <v>2494</v>
      </c>
      <c r="F5">
        <f>VLOOKUP(E5,FuelSupplierStatus.csv!$C:$H,6,FALSE)</f>
        <v>1</v>
      </c>
      <c r="G5" t="s">
        <v>2496</v>
      </c>
      <c r="H5">
        <f>VLOOKUP(G5,FuelSupplierType.csv!$C:$H,6,FALSE)</f>
        <v>1</v>
      </c>
      <c r="I5" t="s">
        <v>2498</v>
      </c>
      <c r="J5">
        <f>VLOOKUP(I5,FuelSupplierActionsType.csv!$C:$H,6,FALSE)</f>
        <v>1</v>
      </c>
      <c r="K5" s="8" t="str">
        <f t="shared" ca="1" si="1"/>
        <v>'2013-07-20</v>
      </c>
      <c r="L5">
        <f t="shared" si="2"/>
        <v>4</v>
      </c>
    </row>
    <row r="6" spans="1:12" x14ac:dyDescent="0.3">
      <c r="A6" t="s">
        <v>2486</v>
      </c>
      <c r="B6">
        <f t="shared" si="0"/>
        <v>5</v>
      </c>
      <c r="C6" t="s">
        <v>2550</v>
      </c>
      <c r="D6" t="s">
        <v>2579</v>
      </c>
      <c r="E6" t="s">
        <v>2494</v>
      </c>
      <c r="F6">
        <f>VLOOKUP(E6,FuelSupplierStatus.csv!$C:$H,6,FALSE)</f>
        <v>1</v>
      </c>
      <c r="G6" t="s">
        <v>2497</v>
      </c>
      <c r="H6">
        <f>VLOOKUP(G6,FuelSupplierType.csv!$C:$H,6,FALSE)</f>
        <v>2</v>
      </c>
      <c r="I6" t="s">
        <v>2498</v>
      </c>
      <c r="J6">
        <f>VLOOKUP(I6,FuelSupplierActionsType.csv!$C:$H,6,FALSE)</f>
        <v>1</v>
      </c>
      <c r="K6" s="8" t="str">
        <f t="shared" ca="1" si="1"/>
        <v>'2013-02-01</v>
      </c>
      <c r="L6">
        <f t="shared" si="2"/>
        <v>5</v>
      </c>
    </row>
    <row r="7" spans="1:12" x14ac:dyDescent="0.3">
      <c r="A7" t="s">
        <v>2486</v>
      </c>
      <c r="B7">
        <f t="shared" si="0"/>
        <v>6</v>
      </c>
      <c r="C7" t="s">
        <v>2551</v>
      </c>
      <c r="D7" t="s">
        <v>2580</v>
      </c>
      <c r="E7" t="s">
        <v>2494</v>
      </c>
      <c r="F7">
        <f>VLOOKUP(E7,FuelSupplierStatus.csv!$C:$H,6,FALSE)</f>
        <v>1</v>
      </c>
      <c r="G7" t="s">
        <v>2496</v>
      </c>
      <c r="H7">
        <f>VLOOKUP(G7,FuelSupplierType.csv!$C:$H,6,FALSE)</f>
        <v>1</v>
      </c>
      <c r="I7" t="s">
        <v>2570</v>
      </c>
      <c r="J7">
        <f>VLOOKUP(I7,FuelSupplierActionsType.csv!$C:$H,6,FALSE)</f>
        <v>2</v>
      </c>
      <c r="K7" s="8" t="str">
        <f t="shared" ca="1" si="1"/>
        <v>'2014-03-09</v>
      </c>
      <c r="L7">
        <f t="shared" si="2"/>
        <v>6</v>
      </c>
    </row>
    <row r="8" spans="1:12" x14ac:dyDescent="0.3">
      <c r="A8" t="s">
        <v>2486</v>
      </c>
      <c r="B8">
        <f t="shared" si="0"/>
        <v>7</v>
      </c>
      <c r="C8" t="s">
        <v>2552</v>
      </c>
      <c r="D8" t="s">
        <v>2582</v>
      </c>
      <c r="E8" t="s">
        <v>2494</v>
      </c>
      <c r="F8">
        <f>VLOOKUP(E8,FuelSupplierStatus.csv!$C:$H,6,FALSE)</f>
        <v>1</v>
      </c>
      <c r="G8" t="s">
        <v>2496</v>
      </c>
      <c r="H8">
        <f>VLOOKUP(G8,FuelSupplierType.csv!$C:$H,6,FALSE)</f>
        <v>1</v>
      </c>
      <c r="I8" t="s">
        <v>2570</v>
      </c>
      <c r="J8">
        <f>VLOOKUP(I8,FuelSupplierActionsType.csv!$C:$H,6,FALSE)</f>
        <v>2</v>
      </c>
      <c r="K8" s="8" t="str">
        <f t="shared" ca="1" si="1"/>
        <v>'2012-12-04</v>
      </c>
      <c r="L8">
        <f t="shared" si="2"/>
        <v>7</v>
      </c>
    </row>
    <row r="9" spans="1:12" x14ac:dyDescent="0.3">
      <c r="A9" t="s">
        <v>2486</v>
      </c>
      <c r="B9">
        <f t="shared" si="0"/>
        <v>8</v>
      </c>
      <c r="C9" t="s">
        <v>2553</v>
      </c>
      <c r="D9" t="s">
        <v>2553</v>
      </c>
      <c r="E9" t="s">
        <v>2494</v>
      </c>
      <c r="F9">
        <f>VLOOKUP(E9,FuelSupplierStatus.csv!$C:$H,6,FALSE)</f>
        <v>1</v>
      </c>
      <c r="G9" t="s">
        <v>2496</v>
      </c>
      <c r="H9">
        <f>VLOOKUP(G9,FuelSupplierType.csv!$C:$H,6,FALSE)</f>
        <v>1</v>
      </c>
      <c r="I9" t="s">
        <v>2498</v>
      </c>
      <c r="J9">
        <f>VLOOKUP(I9,FuelSupplierActionsType.csv!$C:$H,6,FALSE)</f>
        <v>1</v>
      </c>
      <c r="K9" s="8" t="str">
        <f t="shared" ca="1" si="1"/>
        <v>'2013-08-04</v>
      </c>
      <c r="L9">
        <f t="shared" si="2"/>
        <v>8</v>
      </c>
    </row>
    <row r="10" spans="1:12" x14ac:dyDescent="0.3">
      <c r="A10" t="s">
        <v>2486</v>
      </c>
      <c r="B10">
        <f t="shared" si="0"/>
        <v>9</v>
      </c>
      <c r="C10" t="s">
        <v>2554</v>
      </c>
      <c r="D10" t="s">
        <v>2583</v>
      </c>
      <c r="E10" t="s">
        <v>2494</v>
      </c>
      <c r="F10">
        <f>VLOOKUP(E10,FuelSupplierStatus.csv!$C:$H,6,FALSE)</f>
        <v>1</v>
      </c>
      <c r="G10" t="s">
        <v>2497</v>
      </c>
      <c r="H10">
        <f>VLOOKUP(G10,FuelSupplierType.csv!$C:$H,6,FALSE)</f>
        <v>2</v>
      </c>
      <c r="I10" t="s">
        <v>2498</v>
      </c>
      <c r="J10">
        <f>VLOOKUP(I10,FuelSupplierActionsType.csv!$C:$H,6,FALSE)</f>
        <v>1</v>
      </c>
      <c r="K10" s="8" t="str">
        <f t="shared" ca="1" si="1"/>
        <v>'2014-02-22</v>
      </c>
      <c r="L10">
        <f t="shared" si="2"/>
        <v>9</v>
      </c>
    </row>
    <row r="11" spans="1:12" x14ac:dyDescent="0.3">
      <c r="A11" t="s">
        <v>2486</v>
      </c>
      <c r="B11">
        <f t="shared" si="0"/>
        <v>10</v>
      </c>
      <c r="C11" t="s">
        <v>2555</v>
      </c>
      <c r="D11" t="s">
        <v>2584</v>
      </c>
      <c r="E11" t="s">
        <v>2494</v>
      </c>
      <c r="F11">
        <f>VLOOKUP(E11,FuelSupplierStatus.csv!$C:$H,6,FALSE)</f>
        <v>1</v>
      </c>
      <c r="G11" t="s">
        <v>2496</v>
      </c>
      <c r="H11">
        <f>VLOOKUP(G11,FuelSupplierType.csv!$C:$H,6,FALSE)</f>
        <v>1</v>
      </c>
      <c r="I11" t="s">
        <v>2498</v>
      </c>
      <c r="J11">
        <f>VLOOKUP(I11,FuelSupplierActionsType.csv!$C:$H,6,FALSE)</f>
        <v>1</v>
      </c>
      <c r="K11" s="8" t="str">
        <f t="shared" ca="1" si="1"/>
        <v>'2012-09-20</v>
      </c>
      <c r="L11">
        <f t="shared" si="2"/>
        <v>10</v>
      </c>
    </row>
    <row r="12" spans="1:12" x14ac:dyDescent="0.3">
      <c r="A12" t="s">
        <v>2486</v>
      </c>
      <c r="B12">
        <f t="shared" si="0"/>
        <v>11</v>
      </c>
      <c r="C12" t="s">
        <v>2556</v>
      </c>
      <c r="D12" t="s">
        <v>2491</v>
      </c>
      <c r="E12" t="s">
        <v>2494</v>
      </c>
      <c r="F12">
        <f>VLOOKUP(E12,FuelSupplierStatus.csv!$C:$H,6,FALSE)</f>
        <v>1</v>
      </c>
      <c r="G12" t="s">
        <v>2496</v>
      </c>
      <c r="H12">
        <f>VLOOKUP(G12,FuelSupplierType.csv!$C:$H,6,FALSE)</f>
        <v>1</v>
      </c>
      <c r="I12" t="s">
        <v>2498</v>
      </c>
      <c r="J12">
        <f>VLOOKUP(I12,FuelSupplierActionsType.csv!$C:$H,6,FALSE)</f>
        <v>1</v>
      </c>
      <c r="K12" s="8" t="str">
        <f t="shared" ca="1" si="1"/>
        <v>'2013-11-02</v>
      </c>
      <c r="L12">
        <f t="shared" si="2"/>
        <v>11</v>
      </c>
    </row>
    <row r="13" spans="1:12" x14ac:dyDescent="0.3">
      <c r="A13" t="s">
        <v>2486</v>
      </c>
      <c r="B13">
        <f t="shared" si="0"/>
        <v>12</v>
      </c>
      <c r="C13" t="s">
        <v>2557</v>
      </c>
      <c r="D13" t="s">
        <v>2588</v>
      </c>
      <c r="E13" t="s">
        <v>2494</v>
      </c>
      <c r="F13">
        <f>VLOOKUP(E13,FuelSupplierStatus.csv!$C:$H,6,FALSE)</f>
        <v>1</v>
      </c>
      <c r="G13" t="s">
        <v>2496</v>
      </c>
      <c r="H13">
        <f>VLOOKUP(G13,FuelSupplierType.csv!$C:$H,6,FALSE)</f>
        <v>1</v>
      </c>
      <c r="I13" t="s">
        <v>2570</v>
      </c>
      <c r="J13">
        <f>VLOOKUP(I13,FuelSupplierActionsType.csv!$C:$H,6,FALSE)</f>
        <v>2</v>
      </c>
      <c r="K13" s="8" t="str">
        <f t="shared" ca="1" si="1"/>
        <v>'2013-05-20</v>
      </c>
      <c r="L13">
        <f t="shared" si="2"/>
        <v>12</v>
      </c>
    </row>
    <row r="14" spans="1:12" x14ac:dyDescent="0.3">
      <c r="A14" t="s">
        <v>2486</v>
      </c>
      <c r="B14">
        <f t="shared" si="0"/>
        <v>13</v>
      </c>
      <c r="C14" t="s">
        <v>2558</v>
      </c>
      <c r="D14" t="s">
        <v>2585</v>
      </c>
      <c r="E14" t="s">
        <v>2494</v>
      </c>
      <c r="F14">
        <f>VLOOKUP(E14,FuelSupplierStatus.csv!$C:$H,6,FALSE)</f>
        <v>1</v>
      </c>
      <c r="G14" t="s">
        <v>2497</v>
      </c>
      <c r="H14">
        <f>VLOOKUP(G14,FuelSupplierType.csv!$C:$H,6,FALSE)</f>
        <v>2</v>
      </c>
      <c r="I14" t="s">
        <v>2498</v>
      </c>
      <c r="J14">
        <f>VLOOKUP(I14,FuelSupplierActionsType.csv!$C:$H,6,FALSE)</f>
        <v>1</v>
      </c>
      <c r="K14" s="8" t="str">
        <f t="shared" ca="1" si="1"/>
        <v>'2012-04-09</v>
      </c>
      <c r="L14">
        <f t="shared" si="2"/>
        <v>13</v>
      </c>
    </row>
    <row r="15" spans="1:12" x14ac:dyDescent="0.3">
      <c r="A15" t="s">
        <v>2486</v>
      </c>
      <c r="B15">
        <f t="shared" si="0"/>
        <v>14</v>
      </c>
      <c r="C15" t="s">
        <v>2559</v>
      </c>
      <c r="D15" t="s">
        <v>2586</v>
      </c>
      <c r="E15" t="s">
        <v>2494</v>
      </c>
      <c r="F15">
        <f>VLOOKUP(E15,FuelSupplierStatus.csv!$C:$H,6,FALSE)</f>
        <v>1</v>
      </c>
      <c r="G15" t="s">
        <v>2497</v>
      </c>
      <c r="H15">
        <f>VLOOKUP(G15,FuelSupplierType.csv!$C:$H,6,FALSE)</f>
        <v>2</v>
      </c>
      <c r="I15" t="s">
        <v>2498</v>
      </c>
      <c r="J15">
        <f>VLOOKUP(I15,FuelSupplierActionsType.csv!$C:$H,6,FALSE)</f>
        <v>1</v>
      </c>
      <c r="K15" s="8" t="str">
        <f t="shared" ca="1" si="1"/>
        <v>'2012-02-24</v>
      </c>
      <c r="L15">
        <f t="shared" si="2"/>
        <v>14</v>
      </c>
    </row>
    <row r="16" spans="1:12" x14ac:dyDescent="0.3">
      <c r="A16" t="s">
        <v>2486</v>
      </c>
      <c r="B16">
        <f t="shared" si="0"/>
        <v>15</v>
      </c>
      <c r="C16" t="s">
        <v>2560</v>
      </c>
      <c r="D16" t="s">
        <v>2574</v>
      </c>
      <c r="E16" t="s">
        <v>2494</v>
      </c>
      <c r="F16">
        <f>VLOOKUP(E16,FuelSupplierStatus.csv!$C:$H,6,FALSE)</f>
        <v>1</v>
      </c>
      <c r="G16" t="s">
        <v>2496</v>
      </c>
      <c r="H16">
        <f>VLOOKUP(G16,FuelSupplierType.csv!$C:$H,6,FALSE)</f>
        <v>1</v>
      </c>
      <c r="I16" t="s">
        <v>2498</v>
      </c>
      <c r="J16">
        <f>VLOOKUP(I16,FuelSupplierActionsType.csv!$C:$H,6,FALSE)</f>
        <v>1</v>
      </c>
      <c r="K16" s="8" t="str">
        <f t="shared" ca="1" si="1"/>
        <v>'2012-09-12</v>
      </c>
      <c r="L16">
        <f t="shared" si="2"/>
        <v>15</v>
      </c>
    </row>
    <row r="17" spans="1:12" x14ac:dyDescent="0.3">
      <c r="A17" t="s">
        <v>2486</v>
      </c>
      <c r="B17">
        <f t="shared" si="0"/>
        <v>16</v>
      </c>
      <c r="C17" t="s">
        <v>2561</v>
      </c>
      <c r="D17" t="s">
        <v>2587</v>
      </c>
      <c r="E17" t="s">
        <v>2494</v>
      </c>
      <c r="F17">
        <f>VLOOKUP(E17,FuelSupplierStatus.csv!$C:$H,6,FALSE)</f>
        <v>1</v>
      </c>
      <c r="G17" t="s">
        <v>2496</v>
      </c>
      <c r="H17">
        <f>VLOOKUP(G17,FuelSupplierType.csv!$C:$H,6,FALSE)</f>
        <v>1</v>
      </c>
      <c r="I17" t="s">
        <v>2498</v>
      </c>
      <c r="J17">
        <f>VLOOKUP(I17,FuelSupplierActionsType.csv!$C:$H,6,FALSE)</f>
        <v>1</v>
      </c>
      <c r="K17" s="8" t="str">
        <f t="shared" ca="1" si="1"/>
        <v>'2012-07-11</v>
      </c>
      <c r="L17">
        <f t="shared" si="2"/>
        <v>16</v>
      </c>
    </row>
    <row r="18" spans="1:12" x14ac:dyDescent="0.3">
      <c r="A18" t="s">
        <v>2486</v>
      </c>
      <c r="B18">
        <f t="shared" si="0"/>
        <v>17</v>
      </c>
      <c r="C18" t="s">
        <v>2562</v>
      </c>
      <c r="D18" t="s">
        <v>2575</v>
      </c>
      <c r="E18" t="s">
        <v>2494</v>
      </c>
      <c r="F18">
        <f>VLOOKUP(E18,FuelSupplierStatus.csv!$C:$H,6,FALSE)</f>
        <v>1</v>
      </c>
      <c r="G18" t="s">
        <v>2496</v>
      </c>
      <c r="H18">
        <f>VLOOKUP(G18,FuelSupplierType.csv!$C:$H,6,FALSE)</f>
        <v>1</v>
      </c>
      <c r="I18" t="s">
        <v>2498</v>
      </c>
      <c r="J18">
        <f>VLOOKUP(I18,FuelSupplierActionsType.csv!$C:$H,6,FALSE)</f>
        <v>1</v>
      </c>
      <c r="K18" s="8" t="str">
        <f t="shared" ca="1" si="1"/>
        <v>'2014-02-22</v>
      </c>
      <c r="L18">
        <f t="shared" si="2"/>
        <v>17</v>
      </c>
    </row>
    <row r="19" spans="1:12" x14ac:dyDescent="0.3">
      <c r="A19" t="s">
        <v>2486</v>
      </c>
      <c r="B19">
        <f t="shared" si="0"/>
        <v>18</v>
      </c>
      <c r="C19" t="s">
        <v>2563</v>
      </c>
      <c r="D19" t="s">
        <v>2576</v>
      </c>
      <c r="E19" t="s">
        <v>2494</v>
      </c>
      <c r="F19">
        <f>VLOOKUP(E19,FuelSupplierStatus.csv!$C:$H,6,FALSE)</f>
        <v>1</v>
      </c>
      <c r="G19" t="s">
        <v>2497</v>
      </c>
      <c r="H19">
        <f>VLOOKUP(G19,FuelSupplierType.csv!$C:$H,6,FALSE)</f>
        <v>2</v>
      </c>
      <c r="I19" t="s">
        <v>2570</v>
      </c>
      <c r="J19">
        <f>VLOOKUP(I19,FuelSupplierActionsType.csv!$C:$H,6,FALSE)</f>
        <v>2</v>
      </c>
      <c r="K19" s="8" t="str">
        <f t="shared" ca="1" si="1"/>
        <v>'2013-06-05</v>
      </c>
      <c r="L19">
        <f t="shared" si="2"/>
        <v>18</v>
      </c>
    </row>
    <row r="20" spans="1:12" x14ac:dyDescent="0.3">
      <c r="A20" t="s">
        <v>2486</v>
      </c>
      <c r="B20">
        <f t="shared" si="0"/>
        <v>19</v>
      </c>
      <c r="C20" t="s">
        <v>2564</v>
      </c>
      <c r="D20" t="s">
        <v>2577</v>
      </c>
      <c r="E20" t="s">
        <v>2494</v>
      </c>
      <c r="F20">
        <f>VLOOKUP(E20,FuelSupplierStatus.csv!$C:$H,6,FALSE)</f>
        <v>1</v>
      </c>
      <c r="G20" t="s">
        <v>2496</v>
      </c>
      <c r="H20">
        <f>VLOOKUP(G20,FuelSupplierType.csv!$C:$H,6,FALSE)</f>
        <v>1</v>
      </c>
      <c r="I20" t="s">
        <v>2570</v>
      </c>
      <c r="J20">
        <f>VLOOKUP(I20,FuelSupplierActionsType.csv!$C:$H,6,FALSE)</f>
        <v>2</v>
      </c>
      <c r="K20" s="8" t="str">
        <f t="shared" ca="1" si="1"/>
        <v>'2014-01-20</v>
      </c>
      <c r="L20">
        <f t="shared" si="2"/>
        <v>19</v>
      </c>
    </row>
    <row r="21" spans="1:12" x14ac:dyDescent="0.3">
      <c r="A21" t="s">
        <v>2486</v>
      </c>
      <c r="B21">
        <f t="shared" si="0"/>
        <v>20</v>
      </c>
      <c r="C21" t="s">
        <v>2565</v>
      </c>
      <c r="D21" t="s">
        <v>2578</v>
      </c>
      <c r="E21" t="s">
        <v>2494</v>
      </c>
      <c r="F21">
        <f>VLOOKUP(E21,FuelSupplierStatus.csv!$C:$H,6,FALSE)</f>
        <v>1</v>
      </c>
      <c r="G21" t="s">
        <v>2496</v>
      </c>
      <c r="H21">
        <f>VLOOKUP(G21,FuelSupplierType.csv!$C:$H,6,FALSE)</f>
        <v>1</v>
      </c>
      <c r="I21" t="s">
        <v>2498</v>
      </c>
      <c r="J21">
        <f>VLOOKUP(I21,FuelSupplierActionsType.csv!$C:$H,6,FALSE)</f>
        <v>1</v>
      </c>
      <c r="K21" s="8" t="str">
        <f t="shared" ca="1" si="1"/>
        <v>'2014-03-15</v>
      </c>
      <c r="L21">
        <f t="shared" si="2"/>
        <v>20</v>
      </c>
    </row>
    <row r="22" spans="1:12" x14ac:dyDescent="0.3">
      <c r="A22" t="s">
        <v>2486</v>
      </c>
      <c r="B22">
        <f t="shared" si="0"/>
        <v>21</v>
      </c>
      <c r="C22" t="s">
        <v>2566</v>
      </c>
      <c r="D22" t="s">
        <v>2589</v>
      </c>
      <c r="E22" t="s">
        <v>2494</v>
      </c>
      <c r="F22">
        <f>VLOOKUP(E22,FuelSupplierStatus.csv!$C:$H,6,FALSE)</f>
        <v>1</v>
      </c>
      <c r="G22" t="s">
        <v>2496</v>
      </c>
      <c r="H22">
        <f>VLOOKUP(G22,FuelSupplierType.csv!$C:$H,6,FALSE)</f>
        <v>1</v>
      </c>
      <c r="I22" t="s">
        <v>2498</v>
      </c>
      <c r="J22">
        <f>VLOOKUP(I22,FuelSupplierActionsType.csv!$C:$H,6,FALSE)</f>
        <v>1</v>
      </c>
      <c r="K22" s="8" t="str">
        <f t="shared" ca="1" si="1"/>
        <v>'2014-03-30</v>
      </c>
      <c r="L22">
        <f t="shared" si="2"/>
        <v>21</v>
      </c>
    </row>
    <row r="23" spans="1:12" x14ac:dyDescent="0.3">
      <c r="A23" t="s">
        <v>2486</v>
      </c>
      <c r="B23">
        <f t="shared" si="0"/>
        <v>22</v>
      </c>
      <c r="C23" t="s">
        <v>2567</v>
      </c>
      <c r="D23" t="s">
        <v>2492</v>
      </c>
      <c r="E23" t="s">
        <v>2494</v>
      </c>
      <c r="F23">
        <f>VLOOKUP(E23,FuelSupplierStatus.csv!$C:$H,6,FALSE)</f>
        <v>1</v>
      </c>
      <c r="G23" t="s">
        <v>2497</v>
      </c>
      <c r="H23">
        <f>VLOOKUP(G23,FuelSupplierType.csv!$C:$H,6,FALSE)</f>
        <v>2</v>
      </c>
      <c r="I23" t="s">
        <v>2498</v>
      </c>
      <c r="J23">
        <f>VLOOKUP(I23,FuelSupplierActionsType.csv!$C:$H,6,FALSE)</f>
        <v>1</v>
      </c>
      <c r="K23" s="8" t="str">
        <f t="shared" ca="1" si="1"/>
        <v>'2012-07-24</v>
      </c>
      <c r="L23">
        <f t="shared" si="2"/>
        <v>22</v>
      </c>
    </row>
    <row r="24" spans="1:12" x14ac:dyDescent="0.3">
      <c r="A24" t="s">
        <v>2486</v>
      </c>
      <c r="B24">
        <f t="shared" si="0"/>
        <v>23</v>
      </c>
      <c r="C24" t="s">
        <v>2493</v>
      </c>
      <c r="D24" t="s">
        <v>2493</v>
      </c>
      <c r="E24" t="s">
        <v>2494</v>
      </c>
      <c r="F24">
        <f>VLOOKUP(E24,FuelSupplierStatus.csv!$C:$H,6,FALSE)</f>
        <v>1</v>
      </c>
      <c r="G24" t="s">
        <v>2496</v>
      </c>
      <c r="H24">
        <f>VLOOKUP(G24,FuelSupplierType.csv!$C:$H,6,FALSE)</f>
        <v>1</v>
      </c>
      <c r="I24" t="s">
        <v>2498</v>
      </c>
      <c r="J24">
        <f>VLOOKUP(I24,FuelSupplierActionsType.csv!$C:$H,6,FALSE)</f>
        <v>1</v>
      </c>
      <c r="K24" s="8" t="str">
        <f t="shared" ca="1" si="1"/>
        <v>'2012-07-20</v>
      </c>
      <c r="L24">
        <f t="shared" si="2"/>
        <v>23</v>
      </c>
    </row>
    <row r="25" spans="1:12" x14ac:dyDescent="0.3">
      <c r="A25" t="s">
        <v>2486</v>
      </c>
      <c r="B25">
        <f t="shared" si="0"/>
        <v>24</v>
      </c>
      <c r="C25" t="s">
        <v>2568</v>
      </c>
      <c r="D25" t="s">
        <v>2568</v>
      </c>
      <c r="E25" t="s">
        <v>2495</v>
      </c>
      <c r="F25">
        <f>VLOOKUP(E25,FuelSupplierStatus.csv!$C:$H,6,FALSE)</f>
        <v>2</v>
      </c>
      <c r="G25" t="s">
        <v>2496</v>
      </c>
      <c r="H25">
        <f>VLOOKUP(G25,FuelSupplierType.csv!$C:$H,6,FALSE)</f>
        <v>1</v>
      </c>
      <c r="I25" t="s">
        <v>2499</v>
      </c>
      <c r="J25">
        <f>VLOOKUP(I25,FuelSupplierActionsType.csv!$C:$H,6,FALSE)</f>
        <v>3</v>
      </c>
      <c r="K25" s="8" t="str">
        <f t="shared" ca="1" si="1"/>
        <v>'2012-04-20</v>
      </c>
      <c r="L25">
        <f t="shared" si="2"/>
        <v>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pane ySplit="1" topLeftCell="A2" activePane="bottomLeft" state="frozen"/>
      <selection pane="bottomLeft" activeCell="B2" sqref="B2:B25"/>
    </sheetView>
  </sheetViews>
  <sheetFormatPr defaultRowHeight="14.4" x14ac:dyDescent="0.3"/>
  <cols>
    <col min="3" max="3" width="13.19921875" bestFit="1" customWidth="1"/>
    <col min="4" max="4" width="18.3984375" bestFit="1" customWidth="1"/>
    <col min="5" max="5" width="27.5" bestFit="1" customWidth="1"/>
    <col min="6" max="6" width="32.09765625" bestFit="1" customWidth="1"/>
    <col min="7" max="8" width="20.8984375" bestFit="1" customWidth="1"/>
    <col min="9" max="9" width="19.69921875" bestFit="1" customWidth="1"/>
    <col min="10" max="10" width="26.19921875" bestFit="1" customWidth="1"/>
    <col min="11" max="11" width="23.7968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2632</v>
      </c>
      <c r="D1" s="2" t="s">
        <v>2670</v>
      </c>
      <c r="E1" s="2" t="s">
        <v>2671</v>
      </c>
      <c r="F1" s="2" t="s">
        <v>12</v>
      </c>
      <c r="G1" s="2" t="s">
        <v>2672</v>
      </c>
      <c r="H1" s="2" t="s">
        <v>2673</v>
      </c>
      <c r="I1" s="2" t="s">
        <v>2674</v>
      </c>
      <c r="J1" s="2" t="s">
        <v>2675</v>
      </c>
      <c r="K1" s="2" t="s">
        <v>2676</v>
      </c>
      <c r="L1" s="2" t="s">
        <v>2665</v>
      </c>
    </row>
    <row r="2" spans="1:12" x14ac:dyDescent="0.3">
      <c r="A2" t="s">
        <v>2572</v>
      </c>
      <c r="B2">
        <f>IF(ISNUMBER(B1),B1+1,1)</f>
        <v>1</v>
      </c>
      <c r="C2">
        <f>VLOOKUP(F2,FuelSupplier.csv!C:L,10,FALSE)</f>
        <v>1</v>
      </c>
      <c r="D2" t="s">
        <v>2591</v>
      </c>
      <c r="E2" t="str">
        <f ca="1">"'"&amp;TEXT(TODAY()-RANDBETWEEN(0,30),"yyyy-mm-dd")</f>
        <v>'2017-08-15</v>
      </c>
      <c r="F2" t="s">
        <v>2547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1</v>
      </c>
    </row>
    <row r="3" spans="1:12" x14ac:dyDescent="0.3">
      <c r="A3" t="s">
        <v>2572</v>
      </c>
      <c r="B3">
        <f t="shared" ref="B3:B25" si="0">IF(ISNUMBER(B2),B2+1,1)</f>
        <v>2</v>
      </c>
      <c r="C3">
        <f>VLOOKUP(F3,FuelSupplier.csv!C:L,10,FALSE)</f>
        <v>2</v>
      </c>
      <c r="D3" t="s">
        <v>2592</v>
      </c>
      <c r="E3" t="str">
        <f t="shared" ref="E3:E25" ca="1" si="1">"'"&amp;TEXT(TODAY()-RANDBETWEEN(0,30),"yyyy-mm-dd")</f>
        <v>'2017-08-15</v>
      </c>
      <c r="F3" t="s">
        <v>2490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</v>
      </c>
    </row>
    <row r="4" spans="1:12" x14ac:dyDescent="0.3">
      <c r="A4" t="s">
        <v>2572</v>
      </c>
      <c r="B4">
        <f t="shared" si="0"/>
        <v>3</v>
      </c>
      <c r="C4">
        <f>VLOOKUP(F4,FuelSupplier.csv!C:L,10,FALSE)</f>
        <v>3</v>
      </c>
      <c r="D4" t="s">
        <v>2593</v>
      </c>
      <c r="E4" t="str">
        <f t="shared" ca="1" si="1"/>
        <v>'2017-08-01</v>
      </c>
      <c r="F4" t="s">
        <v>2548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3</v>
      </c>
    </row>
    <row r="5" spans="1:12" x14ac:dyDescent="0.3">
      <c r="A5" t="s">
        <v>2572</v>
      </c>
      <c r="B5">
        <f t="shared" si="0"/>
        <v>4</v>
      </c>
      <c r="C5">
        <f>VLOOKUP(F5,FuelSupplier.csv!C:L,10,FALSE)</f>
        <v>4</v>
      </c>
      <c r="D5" t="s">
        <v>2594</v>
      </c>
      <c r="E5" t="str">
        <f t="shared" ca="1" si="1"/>
        <v>'2017-08-14</v>
      </c>
      <c r="F5" t="s">
        <v>2549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4</v>
      </c>
    </row>
    <row r="6" spans="1:12" x14ac:dyDescent="0.3">
      <c r="A6" t="s">
        <v>2572</v>
      </c>
      <c r="B6">
        <f t="shared" si="0"/>
        <v>5</v>
      </c>
      <c r="C6">
        <f>VLOOKUP(F6,FuelSupplier.csv!C:L,10,FALSE)</f>
        <v>5</v>
      </c>
      <c r="D6" t="s">
        <v>2595</v>
      </c>
      <c r="E6" t="str">
        <f t="shared" ca="1" si="1"/>
        <v>'2017-07-22</v>
      </c>
      <c r="F6" t="s">
        <v>2550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5</v>
      </c>
    </row>
    <row r="7" spans="1:12" x14ac:dyDescent="0.3">
      <c r="A7" t="s">
        <v>2572</v>
      </c>
      <c r="B7">
        <f t="shared" si="0"/>
        <v>6</v>
      </c>
      <c r="C7">
        <f>VLOOKUP(F7,FuelSupplier.csv!C:L,10,FALSE)</f>
        <v>6</v>
      </c>
      <c r="D7" t="s">
        <v>2596</v>
      </c>
      <c r="E7" t="str">
        <f t="shared" ca="1" si="1"/>
        <v>'2017-08-04</v>
      </c>
      <c r="F7" t="s">
        <v>2551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6</v>
      </c>
    </row>
    <row r="8" spans="1:12" x14ac:dyDescent="0.3">
      <c r="A8" t="s">
        <v>2572</v>
      </c>
      <c r="B8">
        <f t="shared" si="0"/>
        <v>7</v>
      </c>
      <c r="C8">
        <f>VLOOKUP(F8,FuelSupplier.csv!C:L,10,FALSE)</f>
        <v>7</v>
      </c>
      <c r="D8" t="s">
        <v>2597</v>
      </c>
      <c r="E8" t="str">
        <f t="shared" ca="1" si="1"/>
        <v>'2017-08-04</v>
      </c>
      <c r="F8" t="s">
        <v>2552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7</v>
      </c>
    </row>
    <row r="9" spans="1:12" x14ac:dyDescent="0.3">
      <c r="A9" t="s">
        <v>2572</v>
      </c>
      <c r="B9">
        <f t="shared" si="0"/>
        <v>8</v>
      </c>
      <c r="C9">
        <f>VLOOKUP(F9,FuelSupplier.csv!C:L,10,FALSE)</f>
        <v>8</v>
      </c>
      <c r="D9" t="s">
        <v>2598</v>
      </c>
      <c r="E9" t="str">
        <f t="shared" ca="1" si="1"/>
        <v>'2017-08-04</v>
      </c>
      <c r="F9" t="s">
        <v>2553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8</v>
      </c>
    </row>
    <row r="10" spans="1:12" x14ac:dyDescent="0.3">
      <c r="A10" t="s">
        <v>2572</v>
      </c>
      <c r="B10">
        <f t="shared" si="0"/>
        <v>9</v>
      </c>
      <c r="C10">
        <f>VLOOKUP(F10,FuelSupplier.csv!C:L,10,FALSE)</f>
        <v>9</v>
      </c>
      <c r="D10" t="s">
        <v>2599</v>
      </c>
      <c r="E10" t="str">
        <f t="shared" ca="1" si="1"/>
        <v>'2017-07-30</v>
      </c>
      <c r="F10" t="s">
        <v>2554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9</v>
      </c>
    </row>
    <row r="11" spans="1:12" x14ac:dyDescent="0.3">
      <c r="A11" t="s">
        <v>2572</v>
      </c>
      <c r="B11">
        <f t="shared" si="0"/>
        <v>10</v>
      </c>
      <c r="C11">
        <f>VLOOKUP(F11,FuelSupplier.csv!C:L,10,FALSE)</f>
        <v>10</v>
      </c>
      <c r="D11" t="s">
        <v>2590</v>
      </c>
      <c r="E11" t="str">
        <f t="shared" ca="1" si="1"/>
        <v>'2017-08-01</v>
      </c>
      <c r="F11" t="s">
        <v>2555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10</v>
      </c>
    </row>
    <row r="12" spans="1:12" x14ac:dyDescent="0.3">
      <c r="A12" t="s">
        <v>2572</v>
      </c>
      <c r="B12">
        <f t="shared" si="0"/>
        <v>11</v>
      </c>
      <c r="C12">
        <f>VLOOKUP(F12,FuelSupplier.csv!C:L,10,FALSE)</f>
        <v>11</v>
      </c>
      <c r="D12" t="s">
        <v>2600</v>
      </c>
      <c r="E12" t="str">
        <f t="shared" ca="1" si="1"/>
        <v>'2017-07-25</v>
      </c>
      <c r="F12" t="s">
        <v>2556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11</v>
      </c>
    </row>
    <row r="13" spans="1:12" x14ac:dyDescent="0.3">
      <c r="A13" t="s">
        <v>2572</v>
      </c>
      <c r="B13">
        <f t="shared" si="0"/>
        <v>12</v>
      </c>
      <c r="C13">
        <f>VLOOKUP(F13,FuelSupplier.csv!C:L,10,FALSE)</f>
        <v>12</v>
      </c>
      <c r="D13" t="s">
        <v>2601</v>
      </c>
      <c r="E13" t="str">
        <f t="shared" ca="1" si="1"/>
        <v>'2017-08-15</v>
      </c>
      <c r="F13" t="s">
        <v>2557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12</v>
      </c>
    </row>
    <row r="14" spans="1:12" x14ac:dyDescent="0.3">
      <c r="A14" t="s">
        <v>2572</v>
      </c>
      <c r="B14">
        <f t="shared" si="0"/>
        <v>13</v>
      </c>
      <c r="C14">
        <f>VLOOKUP(F14,FuelSupplier.csv!C:L,10,FALSE)</f>
        <v>13</v>
      </c>
      <c r="D14" t="s">
        <v>2602</v>
      </c>
      <c r="E14" t="str">
        <f t="shared" ca="1" si="1"/>
        <v>'2017-08-01</v>
      </c>
      <c r="F14" t="s">
        <v>2558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13</v>
      </c>
    </row>
    <row r="15" spans="1:12" x14ac:dyDescent="0.3">
      <c r="A15" t="s">
        <v>2572</v>
      </c>
      <c r="B15">
        <f t="shared" si="0"/>
        <v>14</v>
      </c>
      <c r="C15">
        <f>VLOOKUP(F15,FuelSupplier.csv!C:L,10,FALSE)</f>
        <v>14</v>
      </c>
      <c r="D15" t="s">
        <v>2603</v>
      </c>
      <c r="E15" t="str">
        <f t="shared" ca="1" si="1"/>
        <v>'2017-08-07</v>
      </c>
      <c r="F15" t="s">
        <v>2559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14</v>
      </c>
    </row>
    <row r="16" spans="1:12" x14ac:dyDescent="0.3">
      <c r="A16" t="s">
        <v>2572</v>
      </c>
      <c r="B16">
        <f t="shared" si="0"/>
        <v>15</v>
      </c>
      <c r="C16">
        <f>VLOOKUP(F16,FuelSupplier.csv!C:L,10,FALSE)</f>
        <v>15</v>
      </c>
      <c r="D16" t="s">
        <v>2604</v>
      </c>
      <c r="E16" t="str">
        <f t="shared" ca="1" si="1"/>
        <v>'2017-08-05</v>
      </c>
      <c r="F16" t="s">
        <v>2560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15</v>
      </c>
    </row>
    <row r="17" spans="1:12" x14ac:dyDescent="0.3">
      <c r="A17" t="s">
        <v>2572</v>
      </c>
      <c r="B17">
        <f t="shared" si="0"/>
        <v>16</v>
      </c>
      <c r="C17">
        <f>VLOOKUP(F17,FuelSupplier.csv!C:L,10,FALSE)</f>
        <v>16</v>
      </c>
      <c r="D17" t="s">
        <v>2605</v>
      </c>
      <c r="E17" t="str">
        <f t="shared" ca="1" si="1"/>
        <v>'2017-07-16</v>
      </c>
      <c r="F17" t="s">
        <v>2561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16</v>
      </c>
    </row>
    <row r="18" spans="1:12" x14ac:dyDescent="0.3">
      <c r="A18" t="s">
        <v>2572</v>
      </c>
      <c r="B18">
        <f t="shared" si="0"/>
        <v>17</v>
      </c>
      <c r="C18">
        <f>VLOOKUP(F18,FuelSupplier.csv!C:L,10,FALSE)</f>
        <v>17</v>
      </c>
      <c r="D18" t="s">
        <v>2606</v>
      </c>
      <c r="E18" t="str">
        <f t="shared" ca="1" si="1"/>
        <v>'2017-07-17</v>
      </c>
      <c r="F18" t="s">
        <v>2562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17</v>
      </c>
    </row>
    <row r="19" spans="1:12" x14ac:dyDescent="0.3">
      <c r="A19" t="s">
        <v>2572</v>
      </c>
      <c r="B19">
        <f t="shared" si="0"/>
        <v>18</v>
      </c>
      <c r="C19">
        <f>VLOOKUP(F19,FuelSupplier.csv!C:L,10,FALSE)</f>
        <v>18</v>
      </c>
      <c r="D19" t="s">
        <v>2607</v>
      </c>
      <c r="E19" t="str">
        <f t="shared" ca="1" si="1"/>
        <v>'2017-08-05</v>
      </c>
      <c r="F19" t="s">
        <v>2563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18</v>
      </c>
    </row>
    <row r="20" spans="1:12" x14ac:dyDescent="0.3">
      <c r="A20" t="s">
        <v>2572</v>
      </c>
      <c r="B20">
        <f t="shared" si="0"/>
        <v>19</v>
      </c>
      <c r="C20">
        <f>VLOOKUP(F20,FuelSupplier.csv!C:L,10,FALSE)</f>
        <v>19</v>
      </c>
      <c r="D20" t="s">
        <v>2608</v>
      </c>
      <c r="E20" t="str">
        <f t="shared" ca="1" si="1"/>
        <v>'2017-08-12</v>
      </c>
      <c r="F20" t="s">
        <v>2564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19</v>
      </c>
    </row>
    <row r="21" spans="1:12" x14ac:dyDescent="0.3">
      <c r="A21" t="s">
        <v>2572</v>
      </c>
      <c r="B21">
        <f t="shared" si="0"/>
        <v>20</v>
      </c>
      <c r="C21">
        <f>VLOOKUP(F21,FuelSupplier.csv!C:L,10,FALSE)</f>
        <v>20</v>
      </c>
      <c r="D21" t="s">
        <v>2609</v>
      </c>
      <c r="E21" t="str">
        <f t="shared" ca="1" si="1"/>
        <v>'2017-08-09</v>
      </c>
      <c r="F21" t="s">
        <v>2565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</v>
      </c>
    </row>
    <row r="22" spans="1:12" x14ac:dyDescent="0.3">
      <c r="A22" t="s">
        <v>2572</v>
      </c>
      <c r="B22">
        <f t="shared" si="0"/>
        <v>21</v>
      </c>
      <c r="C22">
        <f>VLOOKUP(F22,FuelSupplier.csv!C:L,10,FALSE)</f>
        <v>21</v>
      </c>
      <c r="D22" t="s">
        <v>2610</v>
      </c>
      <c r="E22" t="str">
        <f t="shared" ca="1" si="1"/>
        <v>'2017-08-11</v>
      </c>
      <c r="F22" t="s">
        <v>2566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21</v>
      </c>
    </row>
    <row r="23" spans="1:12" x14ac:dyDescent="0.3">
      <c r="A23" t="s">
        <v>2572</v>
      </c>
      <c r="B23">
        <f t="shared" si="0"/>
        <v>22</v>
      </c>
      <c r="C23">
        <f>VLOOKUP(F23,FuelSupplier.csv!C:L,10,FALSE)</f>
        <v>22</v>
      </c>
      <c r="D23" t="s">
        <v>2611</v>
      </c>
      <c r="E23" t="str">
        <f t="shared" ca="1" si="1"/>
        <v>'2017-08-07</v>
      </c>
      <c r="F23" t="s">
        <v>2567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22</v>
      </c>
    </row>
    <row r="24" spans="1:12" x14ac:dyDescent="0.3">
      <c r="A24" t="s">
        <v>2572</v>
      </c>
      <c r="B24">
        <f t="shared" si="0"/>
        <v>23</v>
      </c>
      <c r="C24">
        <f>VLOOKUP(F24,FuelSupplier.csv!C:L,10,FALSE)</f>
        <v>23</v>
      </c>
      <c r="D24" t="s">
        <v>2612</v>
      </c>
      <c r="E24" t="str">
        <f t="shared" ca="1" si="1"/>
        <v>'2017-08-02</v>
      </c>
      <c r="F24" t="s">
        <v>2493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23</v>
      </c>
    </row>
    <row r="25" spans="1:12" x14ac:dyDescent="0.3">
      <c r="A25" t="s">
        <v>2572</v>
      </c>
      <c r="B25">
        <f t="shared" si="0"/>
        <v>24</v>
      </c>
      <c r="C25">
        <f>VLOOKUP(F25,FuelSupplier.csv!C:L,10,FALSE)</f>
        <v>24</v>
      </c>
      <c r="D25" t="s">
        <v>2613</v>
      </c>
      <c r="E25" t="str">
        <f t="shared" ca="1" si="1"/>
        <v>'2017-08-01</v>
      </c>
      <c r="F25" t="s">
        <v>2568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"/>
  <sheetViews>
    <sheetView workbookViewId="0">
      <pane ySplit="1" topLeftCell="A2" activePane="bottomLeft" state="frozen"/>
      <selection pane="bottomLeft" activeCell="B2" sqref="B2:B3"/>
    </sheetView>
  </sheetViews>
  <sheetFormatPr defaultRowHeight="14.4" x14ac:dyDescent="0.3"/>
  <cols>
    <col min="1" max="1" width="7.8984375" bestFit="1" customWidth="1"/>
    <col min="2" max="2" width="5.8984375" bestFit="1" customWidth="1"/>
    <col min="3" max="3" width="8.19921875" bestFit="1" customWidth="1"/>
    <col min="4" max="4" width="93.8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2500</v>
      </c>
      <c r="B2">
        <f>IF(ISNUMBER(B1),B1+1,1)</f>
        <v>1</v>
      </c>
      <c r="C2" t="s">
        <v>2494</v>
      </c>
      <c r="D2" t="s">
        <v>2502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2500</v>
      </c>
      <c r="B3">
        <f>IF(ISNUMBER(B2),B2+1,1)</f>
        <v>2</v>
      </c>
      <c r="C3" t="s">
        <v>2495</v>
      </c>
      <c r="D3" t="s">
        <v>2501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6.69921875" bestFit="1" customWidth="1"/>
    <col min="2" max="2" width="5.8984375" bestFit="1" customWidth="1"/>
    <col min="3" max="3" width="22.5" bestFit="1" customWidth="1"/>
    <col min="4" max="4" width="69.398437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2503</v>
      </c>
      <c r="B2">
        <f>IF(ISNUMBER(B1),B1+1,1)</f>
        <v>1</v>
      </c>
      <c r="C2" t="s">
        <v>2496</v>
      </c>
      <c r="D2" t="s">
        <v>2505</v>
      </c>
      <c r="E2" t="str">
        <f>"'"&amp;TEXT("2017-01-01","yyyy-mm-dd")</f>
        <v>'2017-01-01</v>
      </c>
      <c r="F2" t="str">
        <f>"'"&amp;TEXT("2117-01-01","yyyy-mm-dd")</f>
        <v>'2117-01-01</v>
      </c>
      <c r="G2">
        <v>1</v>
      </c>
      <c r="H2">
        <f>B2</f>
        <v>1</v>
      </c>
    </row>
    <row r="3" spans="1:8" x14ac:dyDescent="0.3">
      <c r="A3" t="s">
        <v>2503</v>
      </c>
      <c r="B3">
        <f t="shared" ref="B3:B4" si="0">IF(ISNUMBER(B2),B2+1,1)</f>
        <v>2</v>
      </c>
      <c r="C3" t="s">
        <v>2497</v>
      </c>
      <c r="D3" t="s">
        <v>2506</v>
      </c>
      <c r="E3" t="str">
        <f t="shared" ref="E3:E4" si="1">"'"&amp;TEXT("2017-01-01","yyyy-mm-dd")</f>
        <v>'2017-01-01</v>
      </c>
      <c r="F3" t="str">
        <f t="shared" ref="F3:F4" si="2">"'"&amp;TEXT("2117-01-01","yyyy-mm-dd")</f>
        <v>'2117-01-01</v>
      </c>
      <c r="G3">
        <v>2</v>
      </c>
      <c r="H3">
        <f t="shared" ref="H3:H4" si="3">B3</f>
        <v>2</v>
      </c>
    </row>
    <row r="4" spans="1:8" x14ac:dyDescent="0.3">
      <c r="A4" t="s">
        <v>2503</v>
      </c>
      <c r="B4">
        <f t="shared" si="0"/>
        <v>3</v>
      </c>
      <c r="C4" t="s">
        <v>2504</v>
      </c>
      <c r="D4" t="s">
        <v>2507</v>
      </c>
      <c r="E4" t="str">
        <f t="shared" si="1"/>
        <v>'2017-01-01</v>
      </c>
      <c r="F4" t="str">
        <f t="shared" si="2"/>
        <v>'2117-01-01</v>
      </c>
      <c r="G4">
        <v>3</v>
      </c>
      <c r="H4">
        <f t="shared" si="3"/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12.09765625" bestFit="1" customWidth="1"/>
    <col min="2" max="2" width="5.8984375" bestFit="1" customWidth="1"/>
    <col min="3" max="3" width="17.3984375" bestFit="1" customWidth="1"/>
    <col min="4" max="4" width="19.0976562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2508</v>
      </c>
      <c r="B2">
        <f>IF(ISNUMBER(B1),B1+1,1)</f>
        <v>1</v>
      </c>
      <c r="C2" t="s">
        <v>2509</v>
      </c>
      <c r="D2" t="s">
        <v>2510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2508</v>
      </c>
      <c r="B3">
        <f t="shared" ref="B3:B4" si="0">IF(ISNUMBER(B2),B2+1,1)</f>
        <v>2</v>
      </c>
      <c r="C3" t="s">
        <v>2570</v>
      </c>
      <c r="D3" t="s">
        <v>2571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</v>
      </c>
    </row>
    <row r="4" spans="1:8" x14ac:dyDescent="0.3">
      <c r="A4" t="s">
        <v>2508</v>
      </c>
      <c r="B4">
        <f t="shared" si="0"/>
        <v>3</v>
      </c>
      <c r="C4" t="s">
        <v>2499</v>
      </c>
      <c r="D4" t="s">
        <v>2511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3" max="3" width="9.796875" bestFit="1" customWidth="1"/>
  </cols>
  <sheetData>
    <row r="1" spans="1:5" s="2" customFormat="1" x14ac:dyDescent="0.3">
      <c r="A1" s="2" t="s">
        <v>11</v>
      </c>
      <c r="B1" s="2" t="s">
        <v>2410</v>
      </c>
      <c r="C1" s="2" t="s">
        <v>2512</v>
      </c>
      <c r="D1" s="2" t="s">
        <v>2678</v>
      </c>
      <c r="E1" s="2" t="s">
        <v>2665</v>
      </c>
    </row>
    <row r="2" spans="1:5" x14ac:dyDescent="0.3">
      <c r="A2" t="s">
        <v>2513</v>
      </c>
      <c r="B2">
        <f>IF(ISNUMBER(B1),B1+1,1)</f>
        <v>1</v>
      </c>
      <c r="C2" t="s">
        <v>2439</v>
      </c>
      <c r="D2">
        <f>IFERROR(VLOOKUP(C2,'roles.csv'!B:D,3,FALSE),"rg:None")</f>
        <v>4</v>
      </c>
      <c r="E2">
        <f>B2</f>
        <v>1</v>
      </c>
    </row>
    <row r="3" spans="1:5" x14ac:dyDescent="0.3">
      <c r="A3" t="s">
        <v>2513</v>
      </c>
      <c r="B3">
        <f t="shared" ref="B3" si="0">IF(ISNUMBER(B2),B2+1,1)</f>
        <v>2</v>
      </c>
      <c r="C3" t="s">
        <v>2537</v>
      </c>
      <c r="D3">
        <f>IFERROR(VLOOKUP(C3,'roles.csv'!B:D,3,FALSE),"rg:None")</f>
        <v>5</v>
      </c>
      <c r="E3">
        <f t="shared" ref="E3" si="1">B3</f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"/>
  <sheetViews>
    <sheetView workbookViewId="0">
      <pane ySplit="1" topLeftCell="A2" activePane="bottomLeft" state="frozen"/>
      <selection pane="bottomLeft" activeCell="B3" sqref="B3"/>
    </sheetView>
  </sheetViews>
  <sheetFormatPr defaultRowHeight="14.4" x14ac:dyDescent="0.3"/>
  <cols>
    <col min="1" max="1" width="11.796875" customWidth="1"/>
    <col min="2" max="2" width="5.8984375" bestFit="1" customWidth="1"/>
    <col min="3" max="3" width="13.19921875" bestFit="1" customWidth="1"/>
    <col min="4" max="4" width="15.19921875" bestFit="1" customWidth="1"/>
    <col min="5" max="5" width="18" bestFit="1" customWidth="1"/>
    <col min="6" max="6" width="12.5" bestFit="1" customWidth="1"/>
    <col min="7" max="7" width="8.59765625" bestFit="1" customWidth="1"/>
    <col min="8" max="8" width="12.59765625" bestFit="1" customWidth="1"/>
    <col min="9" max="9" width="5.8984375" bestFit="1" customWidth="1"/>
  </cols>
  <sheetData>
    <row r="1" spans="1:9" s="2" customFormat="1" x14ac:dyDescent="0.3">
      <c r="A1" s="2" t="s">
        <v>11</v>
      </c>
      <c r="B1" s="2" t="s">
        <v>2472</v>
      </c>
      <c r="C1" s="2" t="s">
        <v>2481</v>
      </c>
      <c r="D1" s="2" t="s">
        <v>2485</v>
      </c>
      <c r="E1" s="2" t="s">
        <v>2484</v>
      </c>
      <c r="F1" s="2" t="s">
        <v>2480</v>
      </c>
      <c r="G1" s="2" t="s">
        <v>2483</v>
      </c>
      <c r="H1" s="2" t="s">
        <v>2482</v>
      </c>
      <c r="I1" s="2" t="s">
        <v>2462</v>
      </c>
    </row>
    <row r="2" spans="1:9" x14ac:dyDescent="0.3">
      <c r="B2">
        <f>IF(ISNUMBER(B1),B1+1,1)</f>
        <v>1</v>
      </c>
      <c r="I2">
        <f>B2</f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4" max="4" width="10.796875" bestFit="1" customWidth="1"/>
    <col min="5" max="5" width="12.5" bestFit="1" customWidth="1"/>
    <col min="6" max="6" width="14.09765625" bestFit="1" customWidth="1"/>
    <col min="7" max="7" width="12.1992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2514</v>
      </c>
      <c r="B2">
        <f>IF(ISNUMBER(B1),B1+1,1)</f>
        <v>1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9.59765625" bestFit="1" customWidth="1"/>
    <col min="2" max="2" width="5.8984375" bestFit="1" customWidth="1"/>
    <col min="3" max="3" width="12.09765625" bestFit="1" customWidth="1"/>
    <col min="4" max="4" width="118.3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2515</v>
      </c>
      <c r="B2">
        <f>IF(ISNUMBER(B1),B1+1,1)</f>
        <v>1</v>
      </c>
      <c r="C2" t="s">
        <v>2516</v>
      </c>
      <c r="D2" t="s">
        <v>2520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2515</v>
      </c>
      <c r="B3">
        <f t="shared" ref="B3:B5" si="0">IF(ISNUMBER(B2),B2+1,1)</f>
        <v>2</v>
      </c>
      <c r="C3" t="s">
        <v>2517</v>
      </c>
      <c r="D3" t="s">
        <v>2521</v>
      </c>
      <c r="E3" t="str">
        <f t="shared" ref="E3:E5" si="1">"'"&amp;TEXT("2017-01-01","yyyy-mm-dd")</f>
        <v>'2017-01-01</v>
      </c>
      <c r="F3" t="str">
        <f t="shared" ref="F3:F5" si="2">"rg:None"</f>
        <v>rg:None</v>
      </c>
      <c r="G3">
        <v>2</v>
      </c>
      <c r="H3">
        <f t="shared" ref="H3:H5" si="3">B3</f>
        <v>2</v>
      </c>
    </row>
    <row r="4" spans="1:8" x14ac:dyDescent="0.3">
      <c r="A4" t="s">
        <v>2515</v>
      </c>
      <c r="B4">
        <f t="shared" si="0"/>
        <v>3</v>
      </c>
      <c r="C4" t="s">
        <v>2518</v>
      </c>
      <c r="D4" t="s">
        <v>2523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3</v>
      </c>
    </row>
    <row r="5" spans="1:8" x14ac:dyDescent="0.3">
      <c r="A5" t="s">
        <v>2515</v>
      </c>
      <c r="B5">
        <f t="shared" si="0"/>
        <v>4</v>
      </c>
      <c r="C5" t="s">
        <v>2519</v>
      </c>
      <c r="D5" t="s">
        <v>2522</v>
      </c>
      <c r="E5" t="str">
        <f t="shared" si="1"/>
        <v>'2017-01-01</v>
      </c>
      <c r="F5" t="str">
        <f t="shared" si="2"/>
        <v>rg:None</v>
      </c>
      <c r="G5">
        <v>4</v>
      </c>
      <c r="H5">
        <f t="shared" si="3"/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25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3" max="3" width="20.296875" bestFit="1" customWidth="1"/>
    <col min="4" max="4" width="13.19921875" bestFit="1" customWidth="1"/>
    <col min="5" max="6" width="13.19921875" customWidth="1"/>
    <col min="7" max="7" width="10.69921875" bestFit="1" customWidth="1"/>
    <col min="9" max="9" width="16.09765625" bestFit="1" customWidth="1"/>
    <col min="11" max="11" width="12.69921875" bestFit="1" customWidth="1"/>
    <col min="12" max="12" width="18.09765625" bestFit="1" customWidth="1"/>
    <col min="13" max="13" width="19.59765625" bestFit="1" customWidth="1"/>
  </cols>
  <sheetData>
    <row r="1" spans="1:14" s="2" customFormat="1" x14ac:dyDescent="0.3">
      <c r="A1" s="2" t="s">
        <v>11</v>
      </c>
      <c r="B1" s="2" t="s">
        <v>2410</v>
      </c>
      <c r="C1" s="2" t="s">
        <v>2525</v>
      </c>
      <c r="D1" s="2" t="s">
        <v>2632</v>
      </c>
      <c r="E1" s="2" t="s">
        <v>2633</v>
      </c>
      <c r="F1" s="2" t="s">
        <v>2636</v>
      </c>
      <c r="G1" s="2" t="s">
        <v>2406</v>
      </c>
      <c r="H1" s="2" t="s">
        <v>2405</v>
      </c>
      <c r="I1" s="2" t="s">
        <v>2679</v>
      </c>
      <c r="J1" s="2" t="s">
        <v>2680</v>
      </c>
      <c r="K1" s="2" t="s">
        <v>2681</v>
      </c>
      <c r="L1" s="2" t="s">
        <v>2682</v>
      </c>
      <c r="M1" s="2" t="s">
        <v>2683</v>
      </c>
      <c r="N1" s="2" t="s">
        <v>2665</v>
      </c>
    </row>
    <row r="2" spans="1:14" x14ac:dyDescent="0.3">
      <c r="A2" t="s">
        <v>2524</v>
      </c>
      <c r="B2">
        <f>IF(ISNUMBER(B1),B1+1,1)</f>
        <v>1</v>
      </c>
      <c r="C2" t="str">
        <f>FuelSupplier.csv!D2</f>
        <v>Air Liquide</v>
      </c>
      <c r="D2">
        <f>VLOOKUP(C2,FuelSupplier.csv!D:L,9,FALSE)</f>
        <v>1</v>
      </c>
      <c r="E2">
        <f>users.csv!I2</f>
        <v>1</v>
      </c>
      <c r="F2">
        <f>Names!A2</f>
        <v>9</v>
      </c>
      <c r="G2" t="str">
        <f>Names!D2</f>
        <v>Brad</v>
      </c>
      <c r="H2" t="str">
        <f>Names!F2</f>
        <v>Smith</v>
      </c>
      <c r="I2" t="s">
        <v>2635</v>
      </c>
      <c r="K2" t="str">
        <f>Names!M2</f>
        <v>BradJSmith@cuvox.de</v>
      </c>
      <c r="L2" t="str">
        <f>Names!P2</f>
        <v>250-479-5055</v>
      </c>
      <c r="M2" t="s">
        <v>2637</v>
      </c>
      <c r="N2">
        <f>B2</f>
        <v>1</v>
      </c>
    </row>
    <row r="3" spans="1:14" x14ac:dyDescent="0.3">
      <c r="A3" t="s">
        <v>2524</v>
      </c>
      <c r="B3">
        <f t="shared" ref="B3:B25" si="0">IF(ISNUMBER(B2),B2+1,1)</f>
        <v>2</v>
      </c>
      <c r="C3" t="str">
        <f>FuelSupplier.csv!D3</f>
        <v>BC Hydro</v>
      </c>
      <c r="D3">
        <f>VLOOKUP(C3,FuelSupplier.csv!D:L,9,FALSE)</f>
        <v>2</v>
      </c>
      <c r="E3">
        <f>users.csv!I3</f>
        <v>2</v>
      </c>
      <c r="F3">
        <f>Names!A3</f>
        <v>12</v>
      </c>
      <c r="G3" t="str">
        <f>Names!D3</f>
        <v>Judy</v>
      </c>
      <c r="H3" t="str">
        <f>Names!F3</f>
        <v>Holbert</v>
      </c>
      <c r="I3" t="s">
        <v>2635</v>
      </c>
      <c r="K3" t="str">
        <f>Names!M3</f>
        <v>JudyHHolbert@gustr.com</v>
      </c>
      <c r="L3" t="str">
        <f>Names!P3</f>
        <v>604-902-3027</v>
      </c>
      <c r="M3" t="s">
        <v>2638</v>
      </c>
      <c r="N3">
        <f t="shared" ref="N3:N25" si="1">B3</f>
        <v>2</v>
      </c>
    </row>
    <row r="4" spans="1:14" x14ac:dyDescent="0.3">
      <c r="A4" t="s">
        <v>2524</v>
      </c>
      <c r="B4">
        <f t="shared" si="0"/>
        <v>3</v>
      </c>
      <c r="C4" t="str">
        <f>FuelSupplier.csv!D4</f>
        <v>BC Transit</v>
      </c>
      <c r="D4">
        <f>VLOOKUP(C4,FuelSupplier.csv!D:L,9,FALSE)</f>
        <v>3</v>
      </c>
      <c r="E4">
        <f>users.csv!I4</f>
        <v>3</v>
      </c>
      <c r="F4">
        <f>Names!A4</f>
        <v>27</v>
      </c>
      <c r="G4" t="str">
        <f>Names!D4</f>
        <v>Clayton</v>
      </c>
      <c r="H4" t="str">
        <f>Names!F4</f>
        <v>McCullough</v>
      </c>
      <c r="I4" t="s">
        <v>2635</v>
      </c>
      <c r="K4" t="str">
        <f>Names!M4</f>
        <v>ClaytonSMcCullough@fleckens.hu</v>
      </c>
      <c r="L4" t="str">
        <f>Names!P4</f>
        <v>604-867-8081</v>
      </c>
      <c r="M4" t="s">
        <v>2639</v>
      </c>
      <c r="N4">
        <f t="shared" si="1"/>
        <v>3</v>
      </c>
    </row>
    <row r="5" spans="1:14" x14ac:dyDescent="0.3">
      <c r="A5" t="s">
        <v>2524</v>
      </c>
      <c r="B5">
        <f t="shared" si="0"/>
        <v>4</v>
      </c>
      <c r="C5" t="str">
        <f>FuelSupplier.csv!D5</f>
        <v>Cal-Gas</v>
      </c>
      <c r="D5">
        <f>VLOOKUP(C5,FuelSupplier.csv!D:L,9,FALSE)</f>
        <v>4</v>
      </c>
      <c r="E5">
        <f>users.csv!I5</f>
        <v>4</v>
      </c>
      <c r="F5">
        <f>Names!A5</f>
        <v>38</v>
      </c>
      <c r="G5" t="str">
        <f>Names!D5</f>
        <v>Betty</v>
      </c>
      <c r="H5" t="str">
        <f>Names!F5</f>
        <v>Tacker</v>
      </c>
      <c r="I5" t="s">
        <v>2635</v>
      </c>
      <c r="K5" t="str">
        <f>Names!M5</f>
        <v>BettyJTacker@gustr.com</v>
      </c>
      <c r="L5" t="str">
        <f>Names!P5</f>
        <v>250-658-6228</v>
      </c>
      <c r="M5" t="s">
        <v>2640</v>
      </c>
      <c r="N5">
        <f t="shared" si="1"/>
        <v>4</v>
      </c>
    </row>
    <row r="6" spans="1:14" x14ac:dyDescent="0.3">
      <c r="A6" t="s">
        <v>2524</v>
      </c>
      <c r="B6">
        <f t="shared" si="0"/>
        <v>5</v>
      </c>
      <c r="C6" t="str">
        <f>FuelSupplier.csv!D6</f>
        <v>Chevron Canada</v>
      </c>
      <c r="D6">
        <f>VLOOKUP(C6,FuelSupplier.csv!D:L,9,FALSE)</f>
        <v>5</v>
      </c>
      <c r="E6">
        <f>users.csv!I6</f>
        <v>5</v>
      </c>
      <c r="F6">
        <f>Names!A6</f>
        <v>46</v>
      </c>
      <c r="G6" t="str">
        <f>Names!D6</f>
        <v>Gayle</v>
      </c>
      <c r="H6" t="str">
        <f>Names!F6</f>
        <v>York</v>
      </c>
      <c r="I6" t="s">
        <v>2635</v>
      </c>
      <c r="K6" t="str">
        <f>Names!M6</f>
        <v>GayleCYork@dayrep.com</v>
      </c>
      <c r="L6" t="str">
        <f>Names!P6</f>
        <v>250-935-6749</v>
      </c>
      <c r="M6" t="s">
        <v>2641</v>
      </c>
      <c r="N6">
        <f t="shared" si="1"/>
        <v>5</v>
      </c>
    </row>
    <row r="7" spans="1:14" x14ac:dyDescent="0.3">
      <c r="A7" t="s">
        <v>2524</v>
      </c>
      <c r="B7">
        <f t="shared" si="0"/>
        <v>6</v>
      </c>
      <c r="C7" t="str">
        <f>FuelSupplier.csv!D7</f>
        <v>Consolidated Biofuels</v>
      </c>
      <c r="D7">
        <f>VLOOKUP(C7,FuelSupplier.csv!D:L,9,FALSE)</f>
        <v>6</v>
      </c>
      <c r="E7">
        <f>users.csv!I7</f>
        <v>6</v>
      </c>
      <c r="F7">
        <f>Names!A7</f>
        <v>48</v>
      </c>
      <c r="G7" t="str">
        <f>Names!D7</f>
        <v>Brian</v>
      </c>
      <c r="H7" t="str">
        <f>Names!F7</f>
        <v>Healey</v>
      </c>
      <c r="I7" t="s">
        <v>2635</v>
      </c>
      <c r="K7" t="str">
        <f>Names!M7</f>
        <v>BrianBHealey@jourrapide.com</v>
      </c>
      <c r="L7" t="str">
        <f>Names!P7</f>
        <v>604-850-1074</v>
      </c>
      <c r="M7" t="s">
        <v>2642</v>
      </c>
      <c r="N7">
        <f t="shared" si="1"/>
        <v>6</v>
      </c>
    </row>
    <row r="8" spans="1:14" x14ac:dyDescent="0.3">
      <c r="A8" t="s">
        <v>2524</v>
      </c>
      <c r="B8">
        <f t="shared" si="0"/>
        <v>7</v>
      </c>
      <c r="C8" t="str">
        <f>FuelSupplier.csv!D8</f>
        <v>eco-Options</v>
      </c>
      <c r="D8">
        <f>VLOOKUP(C8,FuelSupplier.csv!D:L,9,FALSE)</f>
        <v>7</v>
      </c>
      <c r="E8">
        <f>users.csv!I8</f>
        <v>7</v>
      </c>
      <c r="F8">
        <f>Names!A8</f>
        <v>50</v>
      </c>
      <c r="G8" t="str">
        <f>Names!D8</f>
        <v>Rosa</v>
      </c>
      <c r="H8" t="str">
        <f>Names!F8</f>
        <v>Mayer</v>
      </c>
      <c r="I8" t="s">
        <v>2635</v>
      </c>
      <c r="K8" t="str">
        <f>Names!M8</f>
        <v>RosaDMayer@cuvox.de</v>
      </c>
      <c r="L8" t="str">
        <f>Names!P8</f>
        <v>778-239-8094</v>
      </c>
      <c r="M8" t="s">
        <v>2643</v>
      </c>
      <c r="N8">
        <f t="shared" si="1"/>
        <v>7</v>
      </c>
    </row>
    <row r="9" spans="1:14" x14ac:dyDescent="0.3">
      <c r="A9" t="s">
        <v>2524</v>
      </c>
      <c r="B9">
        <f t="shared" si="0"/>
        <v>8</v>
      </c>
      <c r="C9" t="str">
        <f>FuelSupplier.csv!D9</f>
        <v>Emterra Environmental</v>
      </c>
      <c r="D9">
        <f>VLOOKUP(C9,FuelSupplier.csv!D:L,9,FALSE)</f>
        <v>8</v>
      </c>
      <c r="E9">
        <f>users.csv!I9</f>
        <v>8</v>
      </c>
      <c r="F9">
        <f>Names!A9</f>
        <v>55</v>
      </c>
      <c r="G9" t="str">
        <f>Names!D9</f>
        <v>Albert</v>
      </c>
      <c r="H9" t="str">
        <f>Names!F9</f>
        <v>Mills</v>
      </c>
      <c r="I9" t="s">
        <v>2635</v>
      </c>
      <c r="K9" t="str">
        <f>Names!M9</f>
        <v>AlbertAMills@superrito.com</v>
      </c>
      <c r="L9" t="str">
        <f>Names!P9</f>
        <v>250-762-1075</v>
      </c>
      <c r="M9" t="s">
        <v>2644</v>
      </c>
      <c r="N9">
        <f t="shared" si="1"/>
        <v>8</v>
      </c>
    </row>
    <row r="10" spans="1:14" x14ac:dyDescent="0.3">
      <c r="A10" t="s">
        <v>2524</v>
      </c>
      <c r="B10">
        <f t="shared" si="0"/>
        <v>9</v>
      </c>
      <c r="C10" t="str">
        <f>FuelSupplier.csv!D10</f>
        <v>Federated Co-Operatives</v>
      </c>
      <c r="D10">
        <f>VLOOKUP(C10,FuelSupplier.csv!D:L,9,FALSE)</f>
        <v>9</v>
      </c>
      <c r="E10">
        <f>users.csv!I10</f>
        <v>9</v>
      </c>
      <c r="F10">
        <f>Names!A10</f>
        <v>56</v>
      </c>
      <c r="G10" t="str">
        <f>Names!D10</f>
        <v>Cynthia</v>
      </c>
      <c r="H10" t="str">
        <f>Names!F10</f>
        <v>Whipple</v>
      </c>
      <c r="I10" t="s">
        <v>2635</v>
      </c>
      <c r="K10" t="str">
        <f>Names!M10</f>
        <v>CynthiaKWhipple@einrot.com</v>
      </c>
      <c r="L10" t="str">
        <f>Names!P10</f>
        <v>604-608-7622</v>
      </c>
      <c r="M10" t="s">
        <v>2645</v>
      </c>
      <c r="N10">
        <f t="shared" si="1"/>
        <v>9</v>
      </c>
    </row>
    <row r="11" spans="1:14" x14ac:dyDescent="0.3">
      <c r="A11" t="s">
        <v>2524</v>
      </c>
      <c r="B11">
        <f t="shared" si="0"/>
        <v>10</v>
      </c>
      <c r="C11" t="str">
        <f>FuelSupplier.csv!D11</f>
        <v>FortisBC</v>
      </c>
      <c r="D11">
        <f>VLOOKUP(C11,FuelSupplier.csv!D:L,9,FALSE)</f>
        <v>10</v>
      </c>
      <c r="E11">
        <f>users.csv!I11</f>
        <v>10</v>
      </c>
      <c r="F11">
        <f>Names!A11</f>
        <v>58</v>
      </c>
      <c r="G11" t="str">
        <f>Names!D11</f>
        <v>Michael</v>
      </c>
      <c r="H11" t="str">
        <f>Names!F11</f>
        <v>Washington</v>
      </c>
      <c r="I11" t="s">
        <v>2635</v>
      </c>
      <c r="K11" t="str">
        <f>Names!M11</f>
        <v>MichaelDWashington@dayrep.com</v>
      </c>
      <c r="L11" t="str">
        <f>Names!P11</f>
        <v>604-702-5984</v>
      </c>
      <c r="M11" t="s">
        <v>2646</v>
      </c>
      <c r="N11">
        <f t="shared" si="1"/>
        <v>10</v>
      </c>
    </row>
    <row r="12" spans="1:14" x14ac:dyDescent="0.3">
      <c r="A12" t="s">
        <v>2524</v>
      </c>
      <c r="B12">
        <f t="shared" si="0"/>
        <v>11</v>
      </c>
      <c r="C12" t="str">
        <f>FuelSupplier.csv!D12</f>
        <v>HTEC</v>
      </c>
      <c r="D12">
        <f>VLOOKUP(C12,FuelSupplier.csv!D:L,9,FALSE)</f>
        <v>11</v>
      </c>
      <c r="E12">
        <f>users.csv!I12</f>
        <v>11</v>
      </c>
      <c r="F12">
        <f>Names!A12</f>
        <v>66</v>
      </c>
      <c r="G12" t="str">
        <f>Names!D12</f>
        <v>Sarah</v>
      </c>
      <c r="H12" t="str">
        <f>Names!F12</f>
        <v>Ward</v>
      </c>
      <c r="I12" t="s">
        <v>2635</v>
      </c>
      <c r="K12" t="str">
        <f>Names!M12</f>
        <v>SarahKWard@teleworm.us</v>
      </c>
      <c r="L12" t="str">
        <f>Names!P12</f>
        <v>604-869-9584</v>
      </c>
      <c r="M12" t="s">
        <v>2647</v>
      </c>
      <c r="N12">
        <f t="shared" si="1"/>
        <v>11</v>
      </c>
    </row>
    <row r="13" spans="1:14" x14ac:dyDescent="0.3">
      <c r="A13" t="s">
        <v>2524</v>
      </c>
      <c r="B13">
        <f t="shared" si="0"/>
        <v>12</v>
      </c>
      <c r="C13" t="str">
        <f>FuelSupplier.csv!D13</f>
        <v>Energy Corp</v>
      </c>
      <c r="D13">
        <f>VLOOKUP(C13,FuelSupplier.csv!D:L,9,FALSE)</f>
        <v>12</v>
      </c>
      <c r="E13">
        <f>users.csv!I13</f>
        <v>12</v>
      </c>
      <c r="F13">
        <f>Names!A13</f>
        <v>67</v>
      </c>
      <c r="G13" t="str">
        <f>Names!D13</f>
        <v>Harry</v>
      </c>
      <c r="H13" t="str">
        <f>Names!F13</f>
        <v>Solomon</v>
      </c>
      <c r="I13" t="s">
        <v>2635</v>
      </c>
      <c r="K13" t="str">
        <f>Names!M13</f>
        <v>HarryDSolomon@armyspy.com</v>
      </c>
      <c r="L13" t="str">
        <f>Names!P13</f>
        <v>250-282-6217</v>
      </c>
      <c r="M13" t="s">
        <v>2648</v>
      </c>
      <c r="N13">
        <f t="shared" si="1"/>
        <v>12</v>
      </c>
    </row>
    <row r="14" spans="1:14" x14ac:dyDescent="0.3">
      <c r="A14" t="s">
        <v>2524</v>
      </c>
      <c r="B14">
        <f t="shared" si="0"/>
        <v>13</v>
      </c>
      <c r="C14" t="str">
        <f>FuelSupplier.csv!D14</f>
        <v>Husky Oil</v>
      </c>
      <c r="D14">
        <f>VLOOKUP(C14,FuelSupplier.csv!D:L,9,FALSE)</f>
        <v>13</v>
      </c>
      <c r="E14">
        <f>users.csv!I14</f>
        <v>13</v>
      </c>
      <c r="F14">
        <f>Names!A14</f>
        <v>77</v>
      </c>
      <c r="G14" t="str">
        <f>Names!D14</f>
        <v>Cheryl</v>
      </c>
      <c r="H14" t="str">
        <f>Names!F14</f>
        <v>Mills</v>
      </c>
      <c r="I14" t="s">
        <v>2635</v>
      </c>
      <c r="K14" t="str">
        <f>Names!M14</f>
        <v>CherylGMills@armyspy.com</v>
      </c>
      <c r="L14" t="str">
        <f>Names!P14</f>
        <v>604-277-2069</v>
      </c>
      <c r="M14" t="s">
        <v>2649</v>
      </c>
      <c r="N14">
        <f t="shared" si="1"/>
        <v>13</v>
      </c>
    </row>
    <row r="15" spans="1:14" x14ac:dyDescent="0.3">
      <c r="A15" t="s">
        <v>2524</v>
      </c>
      <c r="B15">
        <f t="shared" si="0"/>
        <v>14</v>
      </c>
      <c r="C15" t="str">
        <f>FuelSupplier.csv!D15</f>
        <v>Imperial Oil Limited</v>
      </c>
      <c r="D15">
        <f>VLOOKUP(C15,FuelSupplier.csv!D:L,9,FALSE)</f>
        <v>14</v>
      </c>
      <c r="E15">
        <f>users.csv!I15</f>
        <v>14</v>
      </c>
      <c r="F15">
        <f>Names!A15</f>
        <v>84</v>
      </c>
      <c r="G15" t="str">
        <f>Names!D15</f>
        <v>Michael</v>
      </c>
      <c r="H15" t="str">
        <f>Names!F15</f>
        <v>Wilkerson</v>
      </c>
      <c r="I15" t="s">
        <v>2635</v>
      </c>
      <c r="K15" t="str">
        <f>Names!M15</f>
        <v>MichaelGWilkerson@gustr.com</v>
      </c>
      <c r="L15" t="str">
        <f>Names!P15</f>
        <v>250-668-9856</v>
      </c>
      <c r="M15" t="s">
        <v>2650</v>
      </c>
      <c r="N15">
        <f t="shared" si="1"/>
        <v>14</v>
      </c>
    </row>
    <row r="16" spans="1:14" x14ac:dyDescent="0.3">
      <c r="A16" t="s">
        <v>2524</v>
      </c>
      <c r="B16">
        <f t="shared" si="0"/>
        <v>15</v>
      </c>
      <c r="C16" t="str">
        <f>FuelSupplier.csv!D16</f>
        <v>Frontenac Petroleum</v>
      </c>
      <c r="D16">
        <f>VLOOKUP(C16,FuelSupplier.csv!D:L,9,FALSE)</f>
        <v>15</v>
      </c>
      <c r="E16">
        <f>users.csv!I16</f>
        <v>15</v>
      </c>
      <c r="F16">
        <f>Names!A16</f>
        <v>93</v>
      </c>
      <c r="G16" t="str">
        <f>Names!D16</f>
        <v>Celia</v>
      </c>
      <c r="H16" t="str">
        <f>Names!F16</f>
        <v>Schreier</v>
      </c>
      <c r="I16" t="s">
        <v>2635</v>
      </c>
      <c r="K16" t="str">
        <f>Names!M16</f>
        <v>CeliaWSchreier@jourrapide.com</v>
      </c>
      <c r="L16" t="str">
        <f>Names!P16</f>
        <v>604-830-6654</v>
      </c>
      <c r="M16" t="s">
        <v>2651</v>
      </c>
      <c r="N16">
        <f t="shared" si="1"/>
        <v>15</v>
      </c>
    </row>
    <row r="17" spans="1:14" x14ac:dyDescent="0.3">
      <c r="A17" t="s">
        <v>2524</v>
      </c>
      <c r="B17">
        <f t="shared" si="0"/>
        <v>16</v>
      </c>
      <c r="C17" t="str">
        <f>FuelSupplier.csv!D17</f>
        <v>Powerex Corp</v>
      </c>
      <c r="D17">
        <f>VLOOKUP(C17,FuelSupplier.csv!D:L,9,FALSE)</f>
        <v>16</v>
      </c>
      <c r="E17">
        <f>users.csv!I17</f>
        <v>16</v>
      </c>
      <c r="F17">
        <f>Names!A17</f>
        <v>115</v>
      </c>
      <c r="G17" t="str">
        <f>Names!D17</f>
        <v>Lillian</v>
      </c>
      <c r="H17" t="str">
        <f>Names!F17</f>
        <v>Warner</v>
      </c>
      <c r="I17" t="s">
        <v>2635</v>
      </c>
      <c r="K17" t="str">
        <f>Names!M17</f>
        <v>LillianJWarner@teleworm.us</v>
      </c>
      <c r="L17" t="str">
        <f>Names!P17</f>
        <v>604-585-0804</v>
      </c>
      <c r="M17" t="s">
        <v>2652</v>
      </c>
      <c r="N17">
        <f t="shared" si="1"/>
        <v>16</v>
      </c>
    </row>
    <row r="18" spans="1:14" x14ac:dyDescent="0.3">
      <c r="A18" t="s">
        <v>2524</v>
      </c>
      <c r="B18">
        <f t="shared" si="0"/>
        <v>17</v>
      </c>
      <c r="C18" t="str">
        <f>FuelSupplier.csv!D18</f>
        <v>Powertech Labs</v>
      </c>
      <c r="D18">
        <f>VLOOKUP(C18,FuelSupplier.csv!D:L,9,FALSE)</f>
        <v>17</v>
      </c>
      <c r="E18">
        <f>users.csv!I18</f>
        <v>17</v>
      </c>
      <c r="F18">
        <f>Names!A18</f>
        <v>117</v>
      </c>
      <c r="G18" t="str">
        <f>Names!D18</f>
        <v>Marilyn</v>
      </c>
      <c r="H18" t="str">
        <f>Names!F18</f>
        <v>Novak</v>
      </c>
      <c r="I18" t="s">
        <v>2635</v>
      </c>
      <c r="K18" t="str">
        <f>Names!M18</f>
        <v>MarilynBNovak@jourrapide.com</v>
      </c>
      <c r="L18" t="str">
        <f>Names!P18</f>
        <v>250-715-8418</v>
      </c>
      <c r="M18" t="s">
        <v>2653</v>
      </c>
      <c r="N18">
        <f t="shared" si="1"/>
        <v>17</v>
      </c>
    </row>
    <row r="19" spans="1:14" x14ac:dyDescent="0.3">
      <c r="A19" t="s">
        <v>2524</v>
      </c>
      <c r="B19">
        <f t="shared" si="0"/>
        <v>18</v>
      </c>
      <c r="C19" t="str">
        <f>FuelSupplier.csv!D19</f>
        <v>Shell Canada</v>
      </c>
      <c r="D19">
        <f>VLOOKUP(C19,FuelSupplier.csv!D:L,9,FALSE)</f>
        <v>18</v>
      </c>
      <c r="E19">
        <f>users.csv!I19</f>
        <v>18</v>
      </c>
      <c r="F19">
        <f>Names!A19</f>
        <v>118</v>
      </c>
      <c r="G19" t="str">
        <f>Names!D19</f>
        <v>Joshua</v>
      </c>
      <c r="H19" t="str">
        <f>Names!F19</f>
        <v>Bjork</v>
      </c>
      <c r="I19" t="s">
        <v>2635</v>
      </c>
      <c r="K19" t="str">
        <f>Names!M19</f>
        <v>JoshuaKBjork@jourrapide.com</v>
      </c>
      <c r="L19" t="str">
        <f>Names!P19</f>
        <v>250-764-6277</v>
      </c>
      <c r="M19" t="s">
        <v>2654</v>
      </c>
      <c r="N19">
        <f t="shared" si="1"/>
        <v>18</v>
      </c>
    </row>
    <row r="20" spans="1:14" x14ac:dyDescent="0.3">
      <c r="A20" t="s">
        <v>2524</v>
      </c>
      <c r="B20">
        <f t="shared" si="0"/>
        <v>19</v>
      </c>
      <c r="C20" t="str">
        <f>FuelSupplier.csv!D20</f>
        <v>Smithrite Disposal</v>
      </c>
      <c r="D20">
        <f>VLOOKUP(C20,FuelSupplier.csv!D:L,9,FALSE)</f>
        <v>19</v>
      </c>
      <c r="E20">
        <f>users.csv!I20</f>
        <v>19</v>
      </c>
      <c r="F20">
        <f>Names!A20</f>
        <v>120</v>
      </c>
      <c r="G20" t="str">
        <f>Names!D20</f>
        <v>Patricia</v>
      </c>
      <c r="H20" t="str">
        <f>Names!F20</f>
        <v>Riley</v>
      </c>
      <c r="I20" t="s">
        <v>2635</v>
      </c>
      <c r="K20" t="str">
        <f>Names!M20</f>
        <v>PatriciaJRiley@dayrep.com</v>
      </c>
      <c r="L20" t="str">
        <f>Names!P20</f>
        <v>250-345-1717</v>
      </c>
      <c r="M20" t="s">
        <v>2655</v>
      </c>
      <c r="N20">
        <f t="shared" si="1"/>
        <v>19</v>
      </c>
    </row>
    <row r="21" spans="1:14" x14ac:dyDescent="0.3">
      <c r="A21" t="s">
        <v>2524</v>
      </c>
      <c r="B21">
        <f t="shared" si="0"/>
        <v>20</v>
      </c>
      <c r="C21" t="str">
        <f>FuelSupplier.csv!D21</f>
        <v>South Coast</v>
      </c>
      <c r="D21">
        <f>VLOOKUP(C21,FuelSupplier.csv!D:L,9,FALSE)</f>
        <v>20</v>
      </c>
      <c r="E21">
        <f>users.csv!I21</f>
        <v>20</v>
      </c>
      <c r="F21">
        <f>Names!A21</f>
        <v>127</v>
      </c>
      <c r="G21" t="str">
        <f>Names!D21</f>
        <v>Beverly</v>
      </c>
      <c r="H21" t="str">
        <f>Names!F21</f>
        <v>Clyde</v>
      </c>
      <c r="I21" t="s">
        <v>2635</v>
      </c>
      <c r="K21" t="str">
        <f>Names!M21</f>
        <v>BeverlyWClyde@rhyta.com</v>
      </c>
      <c r="L21" t="str">
        <f>Names!P21</f>
        <v>604-516-1604</v>
      </c>
      <c r="M21" t="s">
        <v>2656</v>
      </c>
      <c r="N21">
        <f t="shared" si="1"/>
        <v>20</v>
      </c>
    </row>
    <row r="22" spans="1:14" x14ac:dyDescent="0.3">
      <c r="A22" t="s">
        <v>2524</v>
      </c>
      <c r="B22">
        <f t="shared" si="0"/>
        <v>21</v>
      </c>
      <c r="C22" t="str">
        <f>FuelSupplier.csv!D22</f>
        <v>TransLink</v>
      </c>
      <c r="D22">
        <f>VLOOKUP(C22,FuelSupplier.csv!D:L,9,FALSE)</f>
        <v>21</v>
      </c>
      <c r="E22">
        <f>users.csv!I22</f>
        <v>21</v>
      </c>
      <c r="F22">
        <f>Names!A22</f>
        <v>142</v>
      </c>
      <c r="G22" t="str">
        <f>Names!D22</f>
        <v>Bill</v>
      </c>
      <c r="H22" t="str">
        <f>Names!F22</f>
        <v>Finley</v>
      </c>
      <c r="I22" t="s">
        <v>2635</v>
      </c>
      <c r="K22" t="str">
        <f>Names!M22</f>
        <v>BillMFinley@gustr.com</v>
      </c>
      <c r="L22" t="str">
        <f>Names!P22</f>
        <v>250-858-1942</v>
      </c>
      <c r="M22" t="s">
        <v>2657</v>
      </c>
      <c r="N22">
        <f t="shared" si="1"/>
        <v>21</v>
      </c>
    </row>
    <row r="23" spans="1:14" x14ac:dyDescent="0.3">
      <c r="A23" t="s">
        <v>2524</v>
      </c>
      <c r="B23">
        <f t="shared" si="0"/>
        <v>22</v>
      </c>
      <c r="C23" t="str">
        <f>FuelSupplier.csv!D23</f>
        <v>Suncor</v>
      </c>
      <c r="D23">
        <f>VLOOKUP(C23,FuelSupplier.csv!D:L,9,FALSE)</f>
        <v>22</v>
      </c>
      <c r="E23">
        <f>users.csv!I23</f>
        <v>22</v>
      </c>
      <c r="F23">
        <f>Names!A23</f>
        <v>145</v>
      </c>
      <c r="G23" t="str">
        <f>Names!D23</f>
        <v>Charles</v>
      </c>
      <c r="H23" t="str">
        <f>Names!F23</f>
        <v>Seng</v>
      </c>
      <c r="I23" t="s">
        <v>2635</v>
      </c>
      <c r="K23" t="str">
        <f>Names!M23</f>
        <v>CharlesJSeng@armyspy.com</v>
      </c>
      <c r="L23" t="str">
        <f>Names!P23</f>
        <v>604-572-8640</v>
      </c>
      <c r="M23" t="s">
        <v>2658</v>
      </c>
      <c r="N23">
        <f t="shared" si="1"/>
        <v>22</v>
      </c>
    </row>
    <row r="24" spans="1:14" x14ac:dyDescent="0.3">
      <c r="A24" t="s">
        <v>2524</v>
      </c>
      <c r="B24">
        <f t="shared" si="0"/>
        <v>23</v>
      </c>
      <c r="C24" t="str">
        <f>FuelSupplier.csv!D24</f>
        <v>Superior Propane</v>
      </c>
      <c r="D24">
        <f>VLOOKUP(C24,FuelSupplier.csv!D:L,9,FALSE)</f>
        <v>23</v>
      </c>
      <c r="E24">
        <f>users.csv!I24</f>
        <v>23</v>
      </c>
      <c r="F24">
        <f>Names!A24</f>
        <v>156</v>
      </c>
      <c r="G24" t="str">
        <f>Names!D24</f>
        <v>Robert</v>
      </c>
      <c r="H24" t="str">
        <f>Names!F24</f>
        <v>Miller</v>
      </c>
      <c r="I24" t="s">
        <v>2635</v>
      </c>
      <c r="K24" t="str">
        <f>Names!M24</f>
        <v>RobertGMiller@teleworm.us</v>
      </c>
      <c r="L24" t="str">
        <f>Names!P24</f>
        <v>778-240-3830</v>
      </c>
      <c r="M24" t="s">
        <v>2659</v>
      </c>
      <c r="N24">
        <f t="shared" si="1"/>
        <v>23</v>
      </c>
    </row>
    <row r="25" spans="1:14" x14ac:dyDescent="0.3">
      <c r="A25" t="s">
        <v>2524</v>
      </c>
      <c r="B25">
        <f t="shared" si="0"/>
        <v>24</v>
      </c>
      <c r="C25" t="str">
        <f>FuelSupplier.csv!D25</f>
        <v>Super Save Group</v>
      </c>
      <c r="D25">
        <f>VLOOKUP(C25,FuelSupplier.csv!D:L,9,FALSE)</f>
        <v>24</v>
      </c>
      <c r="E25">
        <f>users.csv!I25</f>
        <v>24</v>
      </c>
      <c r="F25">
        <f>Names!A25</f>
        <v>159</v>
      </c>
      <c r="G25" t="str">
        <f>Names!D25</f>
        <v>David</v>
      </c>
      <c r="H25" t="str">
        <f>Names!F25</f>
        <v>Kelly</v>
      </c>
      <c r="I25" t="s">
        <v>2635</v>
      </c>
      <c r="K25" t="str">
        <f>Names!M25</f>
        <v>DavidBKelly@gustr.com</v>
      </c>
      <c r="L25" t="str">
        <f>Names!P25</f>
        <v>250-754-4189</v>
      </c>
      <c r="M25" t="s">
        <v>2660</v>
      </c>
      <c r="N25">
        <f t="shared" si="1"/>
        <v>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0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3" max="3" width="17.19921875" bestFit="1" customWidth="1"/>
    <col min="4" max="4" width="133.5976562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2620</v>
      </c>
      <c r="B2">
        <f>IF(ISNUMBER(B1),B1+1,1)</f>
        <v>1</v>
      </c>
      <c r="C2" t="s">
        <v>2516</v>
      </c>
      <c r="D2" t="s">
        <v>2621</v>
      </c>
      <c r="E2" s="4" t="str">
        <f>"'"&amp;TEXT("2017-01-01","yyyy-mm-dd")</f>
        <v>'2017-01-01</v>
      </c>
      <c r="F2" t="s">
        <v>13</v>
      </c>
      <c r="G2">
        <v>1</v>
      </c>
      <c r="H2">
        <f>B2</f>
        <v>1</v>
      </c>
    </row>
    <row r="3" spans="1:8" x14ac:dyDescent="0.3">
      <c r="A3" t="s">
        <v>2620</v>
      </c>
      <c r="B3">
        <f t="shared" ref="B3:B10" si="0">IF(ISNUMBER(B2),B2+1,1)</f>
        <v>2</v>
      </c>
      <c r="C3" t="s">
        <v>2614</v>
      </c>
      <c r="D3" t="s">
        <v>2622</v>
      </c>
      <c r="E3" s="4" t="str">
        <f t="shared" ref="E3:E10" si="1">"'"&amp;TEXT("2017-01-01","yyyy-mm-dd")</f>
        <v>'2017-01-01</v>
      </c>
      <c r="F3" t="s">
        <v>13</v>
      </c>
      <c r="G3">
        <v>2</v>
      </c>
      <c r="H3">
        <f t="shared" ref="H3:H10" si="2">B3</f>
        <v>2</v>
      </c>
    </row>
    <row r="4" spans="1:8" x14ac:dyDescent="0.3">
      <c r="A4" t="s">
        <v>2620</v>
      </c>
      <c r="B4">
        <f t="shared" si="0"/>
        <v>3</v>
      </c>
      <c r="C4" t="s">
        <v>2615</v>
      </c>
      <c r="D4" t="s">
        <v>2623</v>
      </c>
      <c r="E4" s="4" t="str">
        <f t="shared" si="1"/>
        <v>'2017-01-01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2620</v>
      </c>
      <c r="B5">
        <f t="shared" si="0"/>
        <v>4</v>
      </c>
      <c r="C5" t="s">
        <v>2616</v>
      </c>
      <c r="D5" t="s">
        <v>2626</v>
      </c>
      <c r="E5" s="4" t="str">
        <f t="shared" si="1"/>
        <v>'2017-01-01</v>
      </c>
      <c r="F5" t="s">
        <v>13</v>
      </c>
      <c r="G5">
        <v>4</v>
      </c>
      <c r="H5">
        <f t="shared" si="2"/>
        <v>4</v>
      </c>
    </row>
    <row r="6" spans="1:8" x14ac:dyDescent="0.3">
      <c r="A6" t="s">
        <v>2620</v>
      </c>
      <c r="B6">
        <f t="shared" si="0"/>
        <v>5</v>
      </c>
      <c r="C6" t="s">
        <v>2624</v>
      </c>
      <c r="D6" t="s">
        <v>2625</v>
      </c>
      <c r="E6" s="4" t="str">
        <f t="shared" si="1"/>
        <v>'2017-01-01</v>
      </c>
      <c r="F6" t="s">
        <v>13</v>
      </c>
      <c r="G6">
        <v>4</v>
      </c>
      <c r="H6">
        <f t="shared" ref="H6" si="3">B6</f>
        <v>5</v>
      </c>
    </row>
    <row r="7" spans="1:8" x14ac:dyDescent="0.3">
      <c r="A7" t="s">
        <v>2620</v>
      </c>
      <c r="B7">
        <f t="shared" si="0"/>
        <v>6</v>
      </c>
      <c r="C7" t="s">
        <v>2617</v>
      </c>
      <c r="D7" t="s">
        <v>2627</v>
      </c>
      <c r="E7" s="4" t="str">
        <f t="shared" si="1"/>
        <v>'2017-01-01</v>
      </c>
      <c r="F7" t="s">
        <v>13</v>
      </c>
      <c r="G7">
        <v>5</v>
      </c>
      <c r="H7">
        <f t="shared" si="2"/>
        <v>6</v>
      </c>
    </row>
    <row r="8" spans="1:8" x14ac:dyDescent="0.3">
      <c r="A8" t="s">
        <v>2620</v>
      </c>
      <c r="B8">
        <f t="shared" si="0"/>
        <v>7</v>
      </c>
      <c r="C8" t="s">
        <v>2618</v>
      </c>
      <c r="D8" t="s">
        <v>2628</v>
      </c>
      <c r="E8" s="4" t="str">
        <f t="shared" si="1"/>
        <v>'2017-01-01</v>
      </c>
      <c r="F8" t="s">
        <v>13</v>
      </c>
      <c r="G8">
        <v>6</v>
      </c>
      <c r="H8">
        <f t="shared" si="2"/>
        <v>7</v>
      </c>
    </row>
    <row r="9" spans="1:8" x14ac:dyDescent="0.3">
      <c r="A9" t="s">
        <v>2620</v>
      </c>
      <c r="B9">
        <f t="shared" si="0"/>
        <v>8</v>
      </c>
      <c r="C9" t="s">
        <v>2519</v>
      </c>
      <c r="D9" t="s">
        <v>2629</v>
      </c>
      <c r="E9" s="4" t="str">
        <f t="shared" si="1"/>
        <v>'2017-01-01</v>
      </c>
      <c r="F9" t="s">
        <v>13</v>
      </c>
      <c r="G9">
        <v>7</v>
      </c>
      <c r="H9">
        <f t="shared" si="2"/>
        <v>8</v>
      </c>
    </row>
    <row r="10" spans="1:8" x14ac:dyDescent="0.3">
      <c r="A10" t="s">
        <v>2620</v>
      </c>
      <c r="B10">
        <f t="shared" si="0"/>
        <v>9</v>
      </c>
      <c r="C10" t="s">
        <v>2619</v>
      </c>
      <c r="D10" t="s">
        <v>2630</v>
      </c>
      <c r="E10" s="4" t="str">
        <f t="shared" si="1"/>
        <v>'2017-01-01</v>
      </c>
      <c r="F10" t="s">
        <v>13</v>
      </c>
      <c r="G10">
        <v>8</v>
      </c>
      <c r="H10">
        <f t="shared" si="2"/>
        <v>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" style="4" bestFit="1" customWidth="1"/>
    <col min="2" max="2" width="5.8984375" style="4" bestFit="1" customWidth="1"/>
    <col min="3" max="3" width="16" style="4" bestFit="1" customWidth="1"/>
    <col min="4" max="4" width="71.09765625" style="6" customWidth="1"/>
    <col min="5" max="5" width="12.5" style="4" bestFit="1" customWidth="1"/>
    <col min="6" max="6" width="14.09765625" style="4" bestFit="1" customWidth="1"/>
    <col min="7" max="7" width="12.19921875" style="4" bestFit="1" customWidth="1"/>
    <col min="8" max="8" width="14" style="4" bestFit="1" customWidth="1"/>
    <col min="9" max="9" width="5.8984375" style="4" bestFit="1" customWidth="1"/>
    <col min="10" max="16384" width="8.796875" style="4"/>
  </cols>
  <sheetData>
    <row r="1" spans="1:9" s="3" customFormat="1" x14ac:dyDescent="0.3">
      <c r="A1" s="3" t="s">
        <v>11</v>
      </c>
      <c r="B1" s="3" t="s">
        <v>2410</v>
      </c>
      <c r="C1" s="3" t="s">
        <v>2677</v>
      </c>
      <c r="D1" s="5" t="s">
        <v>2399</v>
      </c>
      <c r="E1" s="3" t="s">
        <v>2396</v>
      </c>
      <c r="F1" s="3" t="s">
        <v>2663</v>
      </c>
      <c r="G1" s="3" t="s">
        <v>2664</v>
      </c>
      <c r="H1" s="3" t="s">
        <v>2684</v>
      </c>
      <c r="I1" s="3" t="s">
        <v>2665</v>
      </c>
    </row>
    <row r="2" spans="1:9" ht="28.8" x14ac:dyDescent="0.3">
      <c r="A2" s="4" t="s">
        <v>2526</v>
      </c>
      <c r="B2" s="4">
        <f>IF(ISNUMBER(B1),B1+1,1)</f>
        <v>1</v>
      </c>
      <c r="C2" s="4" t="s">
        <v>2527</v>
      </c>
      <c r="D2" s="6" t="s">
        <v>2532</v>
      </c>
      <c r="E2" s="4" t="str">
        <f>"'"&amp;TEXT("2017-01-01","yyyy-mm-dd")</f>
        <v>'2017-01-01</v>
      </c>
      <c r="F2" s="4" t="str">
        <f>"'"&amp;TEXT("2117-01-01","yyyy-mm-dd")</f>
        <v>'2117-01-01</v>
      </c>
      <c r="G2" s="4">
        <v>1</v>
      </c>
      <c r="H2" s="4" t="str">
        <f>"rg:False"</f>
        <v>rg:False</v>
      </c>
      <c r="I2" s="4">
        <f>B2</f>
        <v>1</v>
      </c>
    </row>
    <row r="3" spans="1:9" ht="28.8" x14ac:dyDescent="0.3">
      <c r="A3" s="4" t="s">
        <v>2526</v>
      </c>
      <c r="B3" s="4">
        <f t="shared" ref="B3:B6" si="0">IF(ISNUMBER(B2),B2+1,1)</f>
        <v>2</v>
      </c>
      <c r="C3" s="4" t="s">
        <v>2528</v>
      </c>
      <c r="D3" s="6" t="s">
        <v>2533</v>
      </c>
      <c r="E3" s="4" t="str">
        <f t="shared" ref="E3:E6" si="1">"'"&amp;TEXT("2017-01-01","yyyy-mm-dd")</f>
        <v>'2017-01-01</v>
      </c>
      <c r="F3" s="4" t="str">
        <f t="shared" ref="F3:F6" si="2">"'"&amp;TEXT("2117-01-01","yyyy-mm-dd")</f>
        <v>'2117-01-01</v>
      </c>
      <c r="G3" s="4">
        <v>2</v>
      </c>
      <c r="H3" s="4" t="str">
        <f>"rg:False"</f>
        <v>rg:False</v>
      </c>
      <c r="I3" s="4">
        <f t="shared" ref="I3:I6" si="3">B3</f>
        <v>2</v>
      </c>
    </row>
    <row r="4" spans="1:9" ht="28.8" x14ac:dyDescent="0.3">
      <c r="A4" s="4" t="s">
        <v>2526</v>
      </c>
      <c r="B4" s="4">
        <f t="shared" si="0"/>
        <v>3</v>
      </c>
      <c r="C4" s="4" t="s">
        <v>2529</v>
      </c>
      <c r="D4" s="6" t="s">
        <v>2534</v>
      </c>
      <c r="E4" s="4" t="str">
        <f t="shared" si="1"/>
        <v>'2017-01-01</v>
      </c>
      <c r="F4" s="4" t="str">
        <f t="shared" si="2"/>
        <v>'2117-01-01</v>
      </c>
      <c r="G4" s="4">
        <v>3</v>
      </c>
      <c r="H4" s="4" t="str">
        <f>"rg:True"</f>
        <v>rg:True</v>
      </c>
      <c r="I4" s="4">
        <f t="shared" si="3"/>
        <v>3</v>
      </c>
    </row>
    <row r="5" spans="1:9" x14ac:dyDescent="0.3">
      <c r="A5" s="4" t="s">
        <v>2526</v>
      </c>
      <c r="B5" s="4">
        <f t="shared" si="0"/>
        <v>4</v>
      </c>
      <c r="C5" s="4" t="s">
        <v>2530</v>
      </c>
      <c r="D5" s="6" t="s">
        <v>2535</v>
      </c>
      <c r="E5" s="4" t="str">
        <f t="shared" si="1"/>
        <v>'2017-01-01</v>
      </c>
      <c r="F5" s="4" t="str">
        <f t="shared" si="2"/>
        <v>'2117-01-01</v>
      </c>
      <c r="G5" s="4">
        <v>4</v>
      </c>
      <c r="H5" s="4" t="str">
        <f t="shared" ref="H5:H6" si="4">"rg:True"</f>
        <v>rg:True</v>
      </c>
      <c r="I5" s="4">
        <f t="shared" si="3"/>
        <v>4</v>
      </c>
    </row>
    <row r="6" spans="1:9" ht="28.8" x14ac:dyDescent="0.3">
      <c r="A6" s="4" t="s">
        <v>2526</v>
      </c>
      <c r="B6" s="4">
        <f t="shared" si="0"/>
        <v>5</v>
      </c>
      <c r="C6" s="4" t="s">
        <v>2531</v>
      </c>
      <c r="D6" s="6" t="s">
        <v>2536</v>
      </c>
      <c r="E6" s="4" t="str">
        <f t="shared" si="1"/>
        <v>'2017-01-01</v>
      </c>
      <c r="F6" s="4" t="str">
        <f t="shared" si="2"/>
        <v>'2117-01-01</v>
      </c>
      <c r="G6" s="4">
        <v>5</v>
      </c>
      <c r="H6" s="4" t="str">
        <f t="shared" si="4"/>
        <v>rg:True</v>
      </c>
      <c r="I6" s="4">
        <f t="shared" si="3"/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2"/>
  <sheetViews>
    <sheetView workbookViewId="0"/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11</v>
      </c>
      <c r="B1" t="s">
        <v>2398</v>
      </c>
      <c r="C1" t="s">
        <v>12</v>
      </c>
      <c r="D1" t="s">
        <v>2399</v>
      </c>
      <c r="E1" t="s">
        <v>2410</v>
      </c>
    </row>
    <row r="2" spans="1:5" x14ac:dyDescent="0.3">
      <c r="A2" t="s">
        <v>2390</v>
      </c>
      <c r="B2" t="s">
        <v>2413</v>
      </c>
      <c r="C2" t="s">
        <v>2412</v>
      </c>
      <c r="D2" t="s">
        <v>2392</v>
      </c>
      <c r="E2" s="4">
        <f>IF(ISNUMBER(E1),E1+1,1)</f>
        <v>1</v>
      </c>
    </row>
    <row r="3" spans="1:5" x14ac:dyDescent="0.3">
      <c r="A3" t="s">
        <v>2390</v>
      </c>
      <c r="B3" t="s">
        <v>2414</v>
      </c>
      <c r="C3" t="s">
        <v>2394</v>
      </c>
      <c r="D3" t="s">
        <v>2395</v>
      </c>
      <c r="E3" s="4">
        <f t="shared" ref="E3:E12" si="0">IF(ISNUMBER(E2),E2+1,1)</f>
        <v>2</v>
      </c>
    </row>
    <row r="4" spans="1:5" x14ac:dyDescent="0.3">
      <c r="A4" t="s">
        <v>2390</v>
      </c>
      <c r="B4" t="s">
        <v>2415</v>
      </c>
      <c r="C4" t="s">
        <v>2431</v>
      </c>
      <c r="D4" t="s">
        <v>2418</v>
      </c>
      <c r="E4" s="4">
        <f t="shared" si="0"/>
        <v>3</v>
      </c>
    </row>
    <row r="5" spans="1:5" x14ac:dyDescent="0.3">
      <c r="A5" t="s">
        <v>2390</v>
      </c>
      <c r="B5" t="s">
        <v>2416</v>
      </c>
      <c r="C5" t="s">
        <v>2417</v>
      </c>
      <c r="D5" t="s">
        <v>2419</v>
      </c>
      <c r="E5" s="4">
        <f t="shared" si="0"/>
        <v>4</v>
      </c>
    </row>
    <row r="6" spans="1:5" x14ac:dyDescent="0.3">
      <c r="A6" t="s">
        <v>2390</v>
      </c>
      <c r="B6" t="s">
        <v>2426</v>
      </c>
      <c r="C6" t="s">
        <v>2432</v>
      </c>
      <c r="D6" t="s">
        <v>2432</v>
      </c>
      <c r="E6" s="4">
        <f t="shared" si="0"/>
        <v>5</v>
      </c>
    </row>
    <row r="7" spans="1:5" x14ac:dyDescent="0.3">
      <c r="A7" t="s">
        <v>2390</v>
      </c>
      <c r="B7" t="s">
        <v>2430</v>
      </c>
      <c r="C7" t="s">
        <v>2436</v>
      </c>
      <c r="D7" t="s">
        <v>2436</v>
      </c>
      <c r="E7" s="4">
        <f t="shared" si="0"/>
        <v>6</v>
      </c>
    </row>
    <row r="8" spans="1:5" x14ac:dyDescent="0.3">
      <c r="A8" t="s">
        <v>2390</v>
      </c>
      <c r="B8" t="s">
        <v>2427</v>
      </c>
      <c r="C8" t="s">
        <v>2433</v>
      </c>
      <c r="D8" t="s">
        <v>2433</v>
      </c>
      <c r="E8" s="4">
        <f t="shared" si="0"/>
        <v>7</v>
      </c>
    </row>
    <row r="9" spans="1:5" x14ac:dyDescent="0.3">
      <c r="A9" t="s">
        <v>2390</v>
      </c>
      <c r="B9" t="s">
        <v>2543</v>
      </c>
      <c r="C9" t="s">
        <v>2545</v>
      </c>
      <c r="D9" t="s">
        <v>2545</v>
      </c>
      <c r="E9" s="4">
        <f t="shared" si="0"/>
        <v>8</v>
      </c>
    </row>
    <row r="10" spans="1:5" x14ac:dyDescent="0.3">
      <c r="A10" t="s">
        <v>2390</v>
      </c>
      <c r="B10" t="s">
        <v>2544</v>
      </c>
      <c r="C10" t="s">
        <v>2546</v>
      </c>
      <c r="D10" t="s">
        <v>2546</v>
      </c>
      <c r="E10" s="4">
        <f t="shared" si="0"/>
        <v>9</v>
      </c>
    </row>
    <row r="11" spans="1:5" x14ac:dyDescent="0.3">
      <c r="A11" t="s">
        <v>2390</v>
      </c>
      <c r="B11" t="s">
        <v>2428</v>
      </c>
      <c r="C11" t="s">
        <v>2434</v>
      </c>
      <c r="D11" t="s">
        <v>2434</v>
      </c>
      <c r="E11" s="4">
        <f t="shared" si="0"/>
        <v>10</v>
      </c>
    </row>
    <row r="12" spans="1:5" x14ac:dyDescent="0.3">
      <c r="A12" t="s">
        <v>2390</v>
      </c>
      <c r="B12" t="s">
        <v>2429</v>
      </c>
      <c r="C12" t="s">
        <v>2435</v>
      </c>
      <c r="D12" t="s">
        <v>2435</v>
      </c>
      <c r="E12" s="4">
        <f t="shared" si="0"/>
        <v>11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7"/>
  <sheetViews>
    <sheetView workbookViewId="0"/>
  </sheetViews>
  <sheetFormatPr defaultRowHeight="14.4" x14ac:dyDescent="0.3"/>
  <cols>
    <col min="2" max="2" width="10.8984375" bestFit="1" customWidth="1"/>
    <col min="3" max="3" width="32.09765625" bestFit="1" customWidth="1"/>
  </cols>
  <sheetData>
    <row r="1" spans="1:4" x14ac:dyDescent="0.3">
      <c r="A1" t="s">
        <v>11</v>
      </c>
      <c r="B1" t="s">
        <v>12</v>
      </c>
      <c r="C1" t="s">
        <v>2399</v>
      </c>
      <c r="D1" t="s">
        <v>2410</v>
      </c>
    </row>
    <row r="2" spans="1:4" x14ac:dyDescent="0.3">
      <c r="A2" t="s">
        <v>10</v>
      </c>
      <c r="B2" t="s">
        <v>2437</v>
      </c>
      <c r="C2" t="s">
        <v>2538</v>
      </c>
      <c r="D2" s="4">
        <f>IF(ISNUMBER(D1),D1+1,1)</f>
        <v>1</v>
      </c>
    </row>
    <row r="3" spans="1:4" x14ac:dyDescent="0.3">
      <c r="A3" t="s">
        <v>10</v>
      </c>
      <c r="B3" t="s">
        <v>2393</v>
      </c>
      <c r="C3" t="s">
        <v>2539</v>
      </c>
      <c r="D3" s="4">
        <f t="shared" ref="D3:D6" si="0">IF(ISNUMBER(D2),D2+1,1)</f>
        <v>2</v>
      </c>
    </row>
    <row r="4" spans="1:4" x14ac:dyDescent="0.3">
      <c r="A4" t="s">
        <v>10</v>
      </c>
      <c r="B4" t="s">
        <v>2438</v>
      </c>
      <c r="C4" t="s">
        <v>2540</v>
      </c>
      <c r="D4" s="4">
        <f t="shared" si="0"/>
        <v>3</v>
      </c>
    </row>
    <row r="5" spans="1:4" x14ac:dyDescent="0.3">
      <c r="A5" t="s">
        <v>10</v>
      </c>
      <c r="B5" t="s">
        <v>2439</v>
      </c>
      <c r="C5" t="s">
        <v>2541</v>
      </c>
      <c r="D5" s="4">
        <f t="shared" si="0"/>
        <v>4</v>
      </c>
    </row>
    <row r="6" spans="1:4" x14ac:dyDescent="0.3">
      <c r="A6" t="s">
        <v>10</v>
      </c>
      <c r="B6" t="s">
        <v>2537</v>
      </c>
      <c r="C6" t="s">
        <v>2542</v>
      </c>
      <c r="D6" s="4">
        <f t="shared" si="0"/>
        <v>5</v>
      </c>
    </row>
    <row r="7" spans="1:4" x14ac:dyDescent="0.3">
      <c r="D7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10.8984375" bestFit="1" customWidth="1"/>
    <col min="3" max="3" width="25.296875" bestFit="1" customWidth="1"/>
    <col min="4" max="4" width="13.5" bestFit="1" customWidth="1"/>
    <col min="5" max="5" width="13" bestFit="1" customWidth="1"/>
    <col min="6" max="6" width="5.89843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2678</v>
      </c>
      <c r="E1" s="2" t="s">
        <v>2685</v>
      </c>
      <c r="F1" s="2" t="s">
        <v>2410</v>
      </c>
    </row>
    <row r="2" spans="1:6" x14ac:dyDescent="0.3">
      <c r="A2" t="s">
        <v>2411</v>
      </c>
      <c r="B2" t="s">
        <v>2437</v>
      </c>
      <c r="C2" t="s">
        <v>2413</v>
      </c>
      <c r="D2">
        <f>VLOOKUP(B2,'roles.csv'!B:D,3,FALSE)</f>
        <v>1</v>
      </c>
      <c r="E2">
        <f>VLOOKUP(C2,permissions.csv!B:E,4,FALSE)</f>
        <v>1</v>
      </c>
      <c r="F2" s="4">
        <f>IF(ISNUMBER(F1),F1+1,1)</f>
        <v>1</v>
      </c>
    </row>
    <row r="3" spans="1:6" x14ac:dyDescent="0.3">
      <c r="A3" t="s">
        <v>2411</v>
      </c>
      <c r="B3" t="s">
        <v>2437</v>
      </c>
      <c r="C3" t="s">
        <v>2430</v>
      </c>
      <c r="D3">
        <f>VLOOKUP(B3,'roles.csv'!B:D,3,FALSE)</f>
        <v>1</v>
      </c>
      <c r="E3">
        <f>VLOOKUP(C3,permissions.csv!B:E,4,FALSE)</f>
        <v>6</v>
      </c>
      <c r="F3" s="4">
        <f t="shared" ref="F3:F20" si="0">IF(ISNUMBER(F2),F2+1,1)</f>
        <v>2</v>
      </c>
    </row>
    <row r="4" spans="1:6" x14ac:dyDescent="0.3">
      <c r="A4" t="s">
        <v>2411</v>
      </c>
      <c r="B4" t="s">
        <v>2437</v>
      </c>
      <c r="C4" t="s">
        <v>2428</v>
      </c>
      <c r="D4">
        <f>VLOOKUP(B4,'roles.csv'!B:D,3,FALSE)</f>
        <v>1</v>
      </c>
      <c r="E4">
        <f>VLOOKUP(C4,permissions.csv!B:E,4,FALSE)</f>
        <v>10</v>
      </c>
      <c r="F4" s="4">
        <f t="shared" si="0"/>
        <v>3</v>
      </c>
    </row>
    <row r="5" spans="1:6" x14ac:dyDescent="0.3">
      <c r="A5" t="s">
        <v>2411</v>
      </c>
      <c r="B5" t="s">
        <v>2438</v>
      </c>
      <c r="C5" t="s">
        <v>2413</v>
      </c>
      <c r="D5">
        <f>VLOOKUP(B5,'roles.csv'!B:D,3,FALSE)</f>
        <v>3</v>
      </c>
      <c r="E5">
        <f>VLOOKUP(C5,permissions.csv!B:E,4,FALSE)</f>
        <v>1</v>
      </c>
      <c r="F5" s="4">
        <f t="shared" si="0"/>
        <v>4</v>
      </c>
    </row>
    <row r="6" spans="1:6" x14ac:dyDescent="0.3">
      <c r="A6" t="s">
        <v>2411</v>
      </c>
      <c r="B6" t="s">
        <v>2438</v>
      </c>
      <c r="C6" t="s">
        <v>2430</v>
      </c>
      <c r="D6">
        <f>VLOOKUP(B6,'roles.csv'!B:D,3,FALSE)</f>
        <v>3</v>
      </c>
      <c r="E6">
        <f>VLOOKUP(C6,permissions.csv!B:E,4,FALSE)</f>
        <v>6</v>
      </c>
      <c r="F6" s="4">
        <f t="shared" si="0"/>
        <v>5</v>
      </c>
    </row>
    <row r="7" spans="1:6" x14ac:dyDescent="0.3">
      <c r="A7" t="s">
        <v>2411</v>
      </c>
      <c r="B7" t="s">
        <v>2438</v>
      </c>
      <c r="C7" t="s">
        <v>2428</v>
      </c>
      <c r="D7">
        <f>VLOOKUP(B7,'roles.csv'!B:D,3,FALSE)</f>
        <v>3</v>
      </c>
      <c r="E7">
        <f>VLOOKUP(C7,permissions.csv!B:E,4,FALSE)</f>
        <v>10</v>
      </c>
      <c r="F7" s="4">
        <f t="shared" si="0"/>
        <v>6</v>
      </c>
    </row>
    <row r="8" spans="1:6" x14ac:dyDescent="0.3">
      <c r="A8" t="s">
        <v>2411</v>
      </c>
      <c r="B8" t="s">
        <v>2438</v>
      </c>
      <c r="C8" t="s">
        <v>2426</v>
      </c>
      <c r="D8">
        <f>VLOOKUP(B8,'roles.csv'!B:D,3,FALSE)</f>
        <v>3</v>
      </c>
      <c r="E8">
        <f>VLOOKUP(C8,permissions.csv!B:E,4,FALSE)</f>
        <v>5</v>
      </c>
      <c r="F8" s="4">
        <f t="shared" si="0"/>
        <v>7</v>
      </c>
    </row>
    <row r="9" spans="1:6" x14ac:dyDescent="0.3">
      <c r="A9" t="s">
        <v>2411</v>
      </c>
      <c r="B9" t="s">
        <v>2393</v>
      </c>
      <c r="C9" t="s">
        <v>2413</v>
      </c>
      <c r="D9">
        <f>VLOOKUP(B9,'roles.csv'!B:D,3,FALSE)</f>
        <v>2</v>
      </c>
      <c r="E9">
        <f>VLOOKUP(C9,permissions.csv!B:E,4,FALSE)</f>
        <v>1</v>
      </c>
      <c r="F9" s="4">
        <f t="shared" si="0"/>
        <v>8</v>
      </c>
    </row>
    <row r="10" spans="1:6" x14ac:dyDescent="0.3">
      <c r="A10" t="s">
        <v>2411</v>
      </c>
      <c r="B10" t="s">
        <v>2393</v>
      </c>
      <c r="C10" t="s">
        <v>2415</v>
      </c>
      <c r="D10">
        <f>VLOOKUP(B10,'roles.csv'!B:D,3,FALSE)</f>
        <v>2</v>
      </c>
      <c r="E10">
        <f>VLOOKUP(C10,permissions.csv!B:E,4,FALSE)</f>
        <v>3</v>
      </c>
      <c r="F10" s="4">
        <f t="shared" si="0"/>
        <v>9</v>
      </c>
    </row>
    <row r="11" spans="1:6" x14ac:dyDescent="0.3">
      <c r="A11" t="s">
        <v>2411</v>
      </c>
      <c r="B11" t="s">
        <v>2393</v>
      </c>
      <c r="C11" t="s">
        <v>2416</v>
      </c>
      <c r="D11">
        <f>VLOOKUP(B11,'roles.csv'!B:D,3,FALSE)</f>
        <v>2</v>
      </c>
      <c r="E11">
        <f>VLOOKUP(C11,permissions.csv!B:E,4,FALSE)</f>
        <v>4</v>
      </c>
      <c r="F11" s="4">
        <f t="shared" si="0"/>
        <v>10</v>
      </c>
    </row>
    <row r="12" spans="1:6" x14ac:dyDescent="0.3">
      <c r="A12" t="s">
        <v>2411</v>
      </c>
      <c r="B12" t="s">
        <v>2439</v>
      </c>
      <c r="C12" t="s">
        <v>2413</v>
      </c>
      <c r="D12">
        <f>VLOOKUP(B12,'roles.csv'!B:D,3,FALSE)</f>
        <v>4</v>
      </c>
      <c r="E12">
        <f>VLOOKUP(C12,permissions.csv!B:E,4,FALSE)</f>
        <v>1</v>
      </c>
      <c r="F12" s="4">
        <f t="shared" si="0"/>
        <v>11</v>
      </c>
    </row>
    <row r="13" spans="1:6" x14ac:dyDescent="0.3">
      <c r="A13" t="s">
        <v>2411</v>
      </c>
      <c r="B13" t="s">
        <v>2439</v>
      </c>
      <c r="C13" t="s">
        <v>2429</v>
      </c>
      <c r="D13">
        <f>VLOOKUP(B13,'roles.csv'!B:D,3,FALSE)</f>
        <v>4</v>
      </c>
      <c r="E13">
        <f>VLOOKUP(C13,permissions.csv!B:E,4,FALSE)</f>
        <v>11</v>
      </c>
      <c r="F13" s="4">
        <f t="shared" si="0"/>
        <v>12</v>
      </c>
    </row>
    <row r="14" spans="1:6" x14ac:dyDescent="0.3">
      <c r="A14" t="s">
        <v>2411</v>
      </c>
      <c r="B14" t="s">
        <v>2439</v>
      </c>
      <c r="C14" t="s">
        <v>2430</v>
      </c>
      <c r="D14">
        <f>VLOOKUP(B14,'roles.csv'!B:D,3,FALSE)</f>
        <v>4</v>
      </c>
      <c r="E14">
        <f>VLOOKUP(C14,permissions.csv!B:E,4,FALSE)</f>
        <v>6</v>
      </c>
      <c r="F14" s="4">
        <f t="shared" si="0"/>
        <v>13</v>
      </c>
    </row>
    <row r="15" spans="1:6" x14ac:dyDescent="0.3">
      <c r="A15" t="s">
        <v>2411</v>
      </c>
      <c r="B15" t="s">
        <v>2537</v>
      </c>
      <c r="C15" t="s">
        <v>2413</v>
      </c>
      <c r="D15">
        <f>VLOOKUP(B15,'roles.csv'!B:D,3,FALSE)</f>
        <v>5</v>
      </c>
      <c r="E15">
        <f>VLOOKUP(C15,permissions.csv!B:E,4,FALSE)</f>
        <v>1</v>
      </c>
      <c r="F15" s="4">
        <f t="shared" si="0"/>
        <v>14</v>
      </c>
    </row>
    <row r="16" spans="1:6" x14ac:dyDescent="0.3">
      <c r="A16" t="s">
        <v>2411</v>
      </c>
      <c r="B16" t="s">
        <v>2537</v>
      </c>
      <c r="C16" t="s">
        <v>2429</v>
      </c>
      <c r="D16">
        <f>VLOOKUP(B16,'roles.csv'!B:D,3,FALSE)</f>
        <v>5</v>
      </c>
      <c r="E16">
        <f>VLOOKUP(C16,permissions.csv!B:E,4,FALSE)</f>
        <v>11</v>
      </c>
      <c r="F16" s="4">
        <f t="shared" si="0"/>
        <v>15</v>
      </c>
    </row>
    <row r="17" spans="1:6" x14ac:dyDescent="0.3">
      <c r="A17" t="s">
        <v>2411</v>
      </c>
      <c r="B17" t="s">
        <v>2537</v>
      </c>
      <c r="C17" t="s">
        <v>2430</v>
      </c>
      <c r="D17">
        <f>VLOOKUP(B17,'roles.csv'!B:D,3,FALSE)</f>
        <v>5</v>
      </c>
      <c r="E17">
        <f>VLOOKUP(C17,permissions.csv!B:E,4,FALSE)</f>
        <v>6</v>
      </c>
      <c r="F17" s="4">
        <f t="shared" si="0"/>
        <v>16</v>
      </c>
    </row>
    <row r="18" spans="1:6" x14ac:dyDescent="0.3">
      <c r="A18" t="s">
        <v>2411</v>
      </c>
      <c r="B18" t="s">
        <v>2537</v>
      </c>
      <c r="C18" t="s">
        <v>2427</v>
      </c>
      <c r="D18">
        <f>VLOOKUP(B18,'roles.csv'!B:D,3,FALSE)</f>
        <v>5</v>
      </c>
      <c r="E18">
        <f>VLOOKUP(C18,permissions.csv!B:E,4,FALSE)</f>
        <v>7</v>
      </c>
      <c r="F18" s="4">
        <f t="shared" si="0"/>
        <v>17</v>
      </c>
    </row>
    <row r="19" spans="1:6" x14ac:dyDescent="0.3">
      <c r="A19" t="s">
        <v>2411</v>
      </c>
      <c r="B19" t="s">
        <v>2537</v>
      </c>
      <c r="C19" t="s">
        <v>2543</v>
      </c>
      <c r="D19">
        <f>VLOOKUP(B19,'roles.csv'!B:D,3,FALSE)</f>
        <v>5</v>
      </c>
      <c r="E19">
        <f>VLOOKUP(C19,permissions.csv!B:E,4,FALSE)</f>
        <v>8</v>
      </c>
      <c r="F19" s="4">
        <f t="shared" si="0"/>
        <v>18</v>
      </c>
    </row>
    <row r="20" spans="1:6" x14ac:dyDescent="0.3">
      <c r="A20" t="s">
        <v>2411</v>
      </c>
      <c r="B20" t="s">
        <v>2537</v>
      </c>
      <c r="C20" t="s">
        <v>2544</v>
      </c>
      <c r="D20">
        <f>VLOOKUP(B20,'roles.csv'!B:D,3,FALSE)</f>
        <v>5</v>
      </c>
      <c r="E20">
        <f>VLOOKUP(C20,permissions.csv!B:E,4,FALSE)</f>
        <v>9</v>
      </c>
      <c r="F20" s="4">
        <f t="shared" si="0"/>
        <v>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40"/>
  <sheetViews>
    <sheetView tabSelected="1" workbookViewId="0">
      <pane ySplit="1" topLeftCell="A10" activePane="bottomLeft" state="frozen"/>
      <selection pane="bottomLeft" activeCell="A2" sqref="A2"/>
    </sheetView>
  </sheetViews>
  <sheetFormatPr defaultColWidth="8.8984375" defaultRowHeight="14.4" x14ac:dyDescent="0.3"/>
  <cols>
    <col min="1" max="7" width="8.8984375" style="1"/>
    <col min="8" max="8" width="30.8984375" style="1" bestFit="1" customWidth="1"/>
    <col min="9" max="9" width="8.8984375" style="1"/>
    <col min="10" max="10" width="10.8984375" style="1" bestFit="1" customWidth="1"/>
    <col min="11" max="11" width="12" style="1" bestFit="1" customWidth="1"/>
    <col min="12" max="12" width="14.796875" style="1" bestFit="1" customWidth="1"/>
    <col min="13" max="16384" width="8.8984375" style="1"/>
  </cols>
  <sheetData>
    <row r="1" spans="1:12" s="2" customFormat="1" x14ac:dyDescent="0.3">
      <c r="A1" s="2" t="s">
        <v>11</v>
      </c>
      <c r="B1" s="2" t="s">
        <v>2634</v>
      </c>
      <c r="C1" s="2" t="s">
        <v>2404</v>
      </c>
      <c r="D1" s="2" t="s">
        <v>2661</v>
      </c>
      <c r="E1" s="2" t="s">
        <v>2406</v>
      </c>
      <c r="F1" s="2" t="s">
        <v>2405</v>
      </c>
      <c r="G1" s="2" t="s">
        <v>2403</v>
      </c>
      <c r="H1" s="2" t="s">
        <v>2402</v>
      </c>
      <c r="I1" s="2" t="s">
        <v>2410</v>
      </c>
      <c r="J1" s="2" t="s">
        <v>2409</v>
      </c>
      <c r="K1" s="2" t="s">
        <v>2631</v>
      </c>
      <c r="L1" s="2" t="s">
        <v>2632</v>
      </c>
    </row>
    <row r="2" spans="1:12" x14ac:dyDescent="0.3">
      <c r="A2" s="1" t="s">
        <v>2401</v>
      </c>
      <c r="B2" s="1">
        <f>I2</f>
        <v>1</v>
      </c>
      <c r="C2" s="1" t="s">
        <v>13</v>
      </c>
      <c r="D2" s="1">
        <f>FuelSupplierContact.csv!B2</f>
        <v>1</v>
      </c>
      <c r="E2" s="1" t="str">
        <f>IFERROR(VLOOKUP(D2,FuelSupplierContact.csv!B:M,6,FALSE),Names!D2)</f>
        <v>Brad</v>
      </c>
      <c r="F2" s="1" t="str">
        <f>IFERROR(VLOOKUP(D2,FuelSupplierContact.csv!B:M,7,FALSE),Names!F2)</f>
        <v>Smith</v>
      </c>
      <c r="G2" s="1" t="s">
        <v>2400</v>
      </c>
      <c r="H2" s="1" t="str">
        <f>IFERROR(VLOOKUP(D2,FuelSupplierContact.csv!B:M,10,FALSE),Names!M2)</f>
        <v>BradJSmith@cuvox.de</v>
      </c>
      <c r="I2" s="1">
        <f>IF(ISNUMBER(I1),I1+1,1)</f>
        <v>1</v>
      </c>
      <c r="J2" t="s">
        <v>2537</v>
      </c>
      <c r="K2" s="1" t="str">
        <f>VLOOKUP(D2,FuelSupplierContact.csv!B:M,2,FALSE)</f>
        <v>Air Liquide</v>
      </c>
      <c r="L2" s="1">
        <f>IFERROR(VLOOKUP(K2,FuelSupplier.csv!D:L,9,FALSE),"rg:None")</f>
        <v>1</v>
      </c>
    </row>
    <row r="3" spans="1:12" x14ac:dyDescent="0.3">
      <c r="A3" s="1" t="s">
        <v>2401</v>
      </c>
      <c r="B3" s="1">
        <f t="shared" ref="B3:B40" si="0">I3</f>
        <v>2</v>
      </c>
      <c r="C3" s="1" t="s">
        <v>13</v>
      </c>
      <c r="D3" s="1">
        <f>FuelSupplierContact.csv!B3</f>
        <v>2</v>
      </c>
      <c r="E3" s="1" t="str">
        <f>IFERROR(VLOOKUP(D3,FuelSupplierContact.csv!B:M,6,FALSE),Names!D3)</f>
        <v>Judy</v>
      </c>
      <c r="F3" s="1" t="str">
        <f>IFERROR(VLOOKUP(D3,FuelSupplierContact.csv!B:M,7,FALSE),Names!F3)</f>
        <v>Holbert</v>
      </c>
      <c r="G3" s="1" t="s">
        <v>2400</v>
      </c>
      <c r="H3" s="1" t="str">
        <f>IFERROR(VLOOKUP(D3,FuelSupplierContact.csv!B:M,10,FALSE),Names!M3)</f>
        <v>JudyHHolbert@gustr.com</v>
      </c>
      <c r="I3" s="1">
        <f t="shared" ref="I3:I40" si="1">IF(ISNUMBER(I2),I2+1,1)</f>
        <v>2</v>
      </c>
      <c r="J3" t="s">
        <v>2537</v>
      </c>
      <c r="K3" s="1" t="str">
        <f>VLOOKUP(D3,FuelSupplierContact.csv!B:M,2,FALSE)</f>
        <v>BC Hydro</v>
      </c>
      <c r="L3" s="1">
        <f>IFERROR(VLOOKUP(K3,FuelSupplier.csv!D:L,9,FALSE),"rg:None")</f>
        <v>2</v>
      </c>
    </row>
    <row r="4" spans="1:12" x14ac:dyDescent="0.3">
      <c r="A4" s="1" t="s">
        <v>2401</v>
      </c>
      <c r="B4" s="1">
        <f t="shared" si="0"/>
        <v>3</v>
      </c>
      <c r="C4" s="1" t="s">
        <v>13</v>
      </c>
      <c r="D4" s="1">
        <f>FuelSupplierContact.csv!B4</f>
        <v>3</v>
      </c>
      <c r="E4" s="1" t="str">
        <f>IFERROR(VLOOKUP(D4,FuelSupplierContact.csv!B:M,6,FALSE),Names!D4)</f>
        <v>Clayton</v>
      </c>
      <c r="F4" s="1" t="str">
        <f>IFERROR(VLOOKUP(D4,FuelSupplierContact.csv!B:M,7,FALSE),Names!F4)</f>
        <v>McCullough</v>
      </c>
      <c r="G4" s="1" t="s">
        <v>2400</v>
      </c>
      <c r="H4" s="1" t="str">
        <f>IFERROR(VLOOKUP(D4,FuelSupplierContact.csv!B:M,10,FALSE),Names!M4)</f>
        <v>ClaytonSMcCullough@fleckens.hu</v>
      </c>
      <c r="I4" s="1">
        <f t="shared" si="1"/>
        <v>3</v>
      </c>
      <c r="J4" t="s">
        <v>2537</v>
      </c>
      <c r="K4" s="1" t="str">
        <f>VLOOKUP(D4,FuelSupplierContact.csv!B:M,2,FALSE)</f>
        <v>BC Transit</v>
      </c>
      <c r="L4" s="1">
        <f>IFERROR(VLOOKUP(K4,FuelSupplier.csv!D:L,9,FALSE),"rg:None")</f>
        <v>3</v>
      </c>
    </row>
    <row r="5" spans="1:12" x14ac:dyDescent="0.3">
      <c r="A5" s="1" t="s">
        <v>2401</v>
      </c>
      <c r="B5" s="1">
        <f t="shared" si="0"/>
        <v>4</v>
      </c>
      <c r="C5" s="1" t="s">
        <v>13</v>
      </c>
      <c r="D5" s="1">
        <f>FuelSupplierContact.csv!B5</f>
        <v>4</v>
      </c>
      <c r="E5" s="1" t="str">
        <f>IFERROR(VLOOKUP(D5,FuelSupplierContact.csv!B:M,6,FALSE),Names!D5)</f>
        <v>Betty</v>
      </c>
      <c r="F5" s="1" t="str">
        <f>IFERROR(VLOOKUP(D5,FuelSupplierContact.csv!B:M,7,FALSE),Names!F5)</f>
        <v>Tacker</v>
      </c>
      <c r="G5" s="1" t="s">
        <v>2400</v>
      </c>
      <c r="H5" s="1" t="str">
        <f>IFERROR(VLOOKUP(D5,FuelSupplierContact.csv!B:M,10,FALSE),Names!M5)</f>
        <v>BettyJTacker@gustr.com</v>
      </c>
      <c r="I5" s="1">
        <f t="shared" si="1"/>
        <v>4</v>
      </c>
      <c r="J5" t="s">
        <v>2537</v>
      </c>
      <c r="K5" s="1" t="str">
        <f>VLOOKUP(D5,FuelSupplierContact.csv!B:M,2,FALSE)</f>
        <v>Cal-Gas</v>
      </c>
      <c r="L5" s="1">
        <f>IFERROR(VLOOKUP(K5,FuelSupplier.csv!D:L,9,FALSE),"rg:None")</f>
        <v>4</v>
      </c>
    </row>
    <row r="6" spans="1:12" x14ac:dyDescent="0.3">
      <c r="A6" s="1" t="s">
        <v>2401</v>
      </c>
      <c r="B6" s="1">
        <f t="shared" si="0"/>
        <v>5</v>
      </c>
      <c r="C6" s="1" t="s">
        <v>13</v>
      </c>
      <c r="D6" s="1">
        <f>FuelSupplierContact.csv!B6</f>
        <v>5</v>
      </c>
      <c r="E6" s="1" t="str">
        <f>IFERROR(VLOOKUP(D6,FuelSupplierContact.csv!B:M,6,FALSE),Names!D6)</f>
        <v>Gayle</v>
      </c>
      <c r="F6" s="1" t="str">
        <f>IFERROR(VLOOKUP(D6,FuelSupplierContact.csv!B:M,7,FALSE),Names!F6)</f>
        <v>York</v>
      </c>
      <c r="G6" s="1" t="s">
        <v>2400</v>
      </c>
      <c r="H6" s="1" t="str">
        <f>IFERROR(VLOOKUP(D6,FuelSupplierContact.csv!B:M,10,FALSE),Names!M6)</f>
        <v>GayleCYork@dayrep.com</v>
      </c>
      <c r="I6" s="1">
        <f t="shared" si="1"/>
        <v>5</v>
      </c>
      <c r="J6" t="s">
        <v>2537</v>
      </c>
      <c r="K6" s="1" t="str">
        <f>VLOOKUP(D6,FuelSupplierContact.csv!B:M,2,FALSE)</f>
        <v>Chevron Canada</v>
      </c>
      <c r="L6" s="1">
        <f>IFERROR(VLOOKUP(K6,FuelSupplier.csv!D:L,9,FALSE),"rg:None")</f>
        <v>5</v>
      </c>
    </row>
    <row r="7" spans="1:12" x14ac:dyDescent="0.3">
      <c r="A7" s="1" t="s">
        <v>2401</v>
      </c>
      <c r="B7" s="1">
        <f t="shared" si="0"/>
        <v>6</v>
      </c>
      <c r="C7" s="1" t="s">
        <v>13</v>
      </c>
      <c r="D7" s="1">
        <f>FuelSupplierContact.csv!B7</f>
        <v>6</v>
      </c>
      <c r="E7" s="1" t="str">
        <f>IFERROR(VLOOKUP(D7,FuelSupplierContact.csv!B:M,6,FALSE),Names!D7)</f>
        <v>Brian</v>
      </c>
      <c r="F7" s="1" t="str">
        <f>IFERROR(VLOOKUP(D7,FuelSupplierContact.csv!B:M,7,FALSE),Names!F7)</f>
        <v>Healey</v>
      </c>
      <c r="G7" s="1" t="s">
        <v>2400</v>
      </c>
      <c r="H7" s="1" t="str">
        <f>IFERROR(VLOOKUP(D7,FuelSupplierContact.csv!B:M,10,FALSE),Names!M7)</f>
        <v>BrianBHealey@jourrapide.com</v>
      </c>
      <c r="I7" s="1">
        <f t="shared" si="1"/>
        <v>6</v>
      </c>
      <c r="J7" t="s">
        <v>2537</v>
      </c>
      <c r="K7" s="1" t="str">
        <f>VLOOKUP(D7,FuelSupplierContact.csv!B:M,2,FALSE)</f>
        <v>Consolidated Biofuels</v>
      </c>
      <c r="L7" s="1">
        <f>IFERROR(VLOOKUP(K7,FuelSupplier.csv!D:L,9,FALSE),"rg:None")</f>
        <v>6</v>
      </c>
    </row>
    <row r="8" spans="1:12" x14ac:dyDescent="0.3">
      <c r="A8" s="1" t="s">
        <v>2401</v>
      </c>
      <c r="B8" s="1">
        <f t="shared" si="0"/>
        <v>7</v>
      </c>
      <c r="C8" s="1" t="s">
        <v>13</v>
      </c>
      <c r="D8" s="1">
        <f>FuelSupplierContact.csv!B8</f>
        <v>7</v>
      </c>
      <c r="E8" s="1" t="str">
        <f>IFERROR(VLOOKUP(D8,FuelSupplierContact.csv!B:M,6,FALSE),Names!D8)</f>
        <v>Rosa</v>
      </c>
      <c r="F8" s="1" t="str">
        <f>IFERROR(VLOOKUP(D8,FuelSupplierContact.csv!B:M,7,FALSE),Names!F8)</f>
        <v>Mayer</v>
      </c>
      <c r="G8" s="1" t="s">
        <v>2400</v>
      </c>
      <c r="H8" s="1" t="str">
        <f>IFERROR(VLOOKUP(D8,FuelSupplierContact.csv!B:M,10,FALSE),Names!M8)</f>
        <v>RosaDMayer@cuvox.de</v>
      </c>
      <c r="I8" s="1">
        <f t="shared" si="1"/>
        <v>7</v>
      </c>
      <c r="J8" t="s">
        <v>2537</v>
      </c>
      <c r="K8" s="1" t="str">
        <f>VLOOKUP(D8,FuelSupplierContact.csv!B:M,2,FALSE)</f>
        <v>eco-Options</v>
      </c>
      <c r="L8" s="1">
        <f>IFERROR(VLOOKUP(K8,FuelSupplier.csv!D:L,9,FALSE),"rg:None")</f>
        <v>7</v>
      </c>
    </row>
    <row r="9" spans="1:12" x14ac:dyDescent="0.3">
      <c r="A9" s="1" t="s">
        <v>2401</v>
      </c>
      <c r="B9" s="1">
        <f t="shared" si="0"/>
        <v>8</v>
      </c>
      <c r="C9" s="1" t="s">
        <v>13</v>
      </c>
      <c r="D9" s="1">
        <f>FuelSupplierContact.csv!B9</f>
        <v>8</v>
      </c>
      <c r="E9" s="1" t="str">
        <f>IFERROR(VLOOKUP(D9,FuelSupplierContact.csv!B:M,6,FALSE),Names!D9)</f>
        <v>Albert</v>
      </c>
      <c r="F9" s="1" t="str">
        <f>IFERROR(VLOOKUP(D9,FuelSupplierContact.csv!B:M,7,FALSE),Names!F9)</f>
        <v>Mills</v>
      </c>
      <c r="G9" s="1" t="s">
        <v>2400</v>
      </c>
      <c r="H9" s="1" t="str">
        <f>IFERROR(VLOOKUP(D9,FuelSupplierContact.csv!B:M,10,FALSE),Names!M9)</f>
        <v>AlbertAMills@superrito.com</v>
      </c>
      <c r="I9" s="1">
        <f t="shared" si="1"/>
        <v>8</v>
      </c>
      <c r="J9" t="s">
        <v>2537</v>
      </c>
      <c r="K9" s="1" t="str">
        <f>VLOOKUP(D9,FuelSupplierContact.csv!B:M,2,FALSE)</f>
        <v>Emterra Environmental</v>
      </c>
      <c r="L9" s="1">
        <f>IFERROR(VLOOKUP(K9,FuelSupplier.csv!D:L,9,FALSE),"rg:None")</f>
        <v>8</v>
      </c>
    </row>
    <row r="10" spans="1:12" x14ac:dyDescent="0.3">
      <c r="A10" s="1" t="s">
        <v>2401</v>
      </c>
      <c r="B10" s="1">
        <f t="shared" si="0"/>
        <v>9</v>
      </c>
      <c r="C10" s="1" t="s">
        <v>13</v>
      </c>
      <c r="D10" s="1">
        <f>FuelSupplierContact.csv!B10</f>
        <v>9</v>
      </c>
      <c r="E10" s="1" t="str">
        <f>IFERROR(VLOOKUP(D10,FuelSupplierContact.csv!B:M,6,FALSE),Names!D10)</f>
        <v>Cynthia</v>
      </c>
      <c r="F10" s="1" t="str">
        <f>IFERROR(VLOOKUP(D10,FuelSupplierContact.csv!B:M,7,FALSE),Names!F10)</f>
        <v>Whipple</v>
      </c>
      <c r="G10" s="1" t="s">
        <v>2400</v>
      </c>
      <c r="H10" s="1" t="str">
        <f>IFERROR(VLOOKUP(D10,FuelSupplierContact.csv!B:M,10,FALSE),Names!M10)</f>
        <v>CynthiaKWhipple@einrot.com</v>
      </c>
      <c r="I10" s="1">
        <f t="shared" si="1"/>
        <v>9</v>
      </c>
      <c r="J10" t="s">
        <v>2537</v>
      </c>
      <c r="K10" s="1" t="str">
        <f>VLOOKUP(D10,FuelSupplierContact.csv!B:M,2,FALSE)</f>
        <v>Federated Co-Operatives</v>
      </c>
      <c r="L10" s="1">
        <f>IFERROR(VLOOKUP(K10,FuelSupplier.csv!D:L,9,FALSE),"rg:None")</f>
        <v>9</v>
      </c>
    </row>
    <row r="11" spans="1:12" x14ac:dyDescent="0.3">
      <c r="A11" s="1" t="s">
        <v>2401</v>
      </c>
      <c r="B11" s="1">
        <f t="shared" si="0"/>
        <v>10</v>
      </c>
      <c r="C11" s="1" t="s">
        <v>13</v>
      </c>
      <c r="D11" s="1">
        <f>FuelSupplierContact.csv!B11</f>
        <v>10</v>
      </c>
      <c r="E11" s="1" t="str">
        <f>IFERROR(VLOOKUP(D11,FuelSupplierContact.csv!B:M,6,FALSE),Names!D11)</f>
        <v>Michael</v>
      </c>
      <c r="F11" s="1" t="str">
        <f>IFERROR(VLOOKUP(D11,FuelSupplierContact.csv!B:M,7,FALSE),Names!F11)</f>
        <v>Washington</v>
      </c>
      <c r="G11" s="1" t="s">
        <v>2400</v>
      </c>
      <c r="H11" s="1" t="str">
        <f>IFERROR(VLOOKUP(D11,FuelSupplierContact.csv!B:M,10,FALSE),Names!M11)</f>
        <v>MichaelDWashington@dayrep.com</v>
      </c>
      <c r="I11" s="1">
        <f t="shared" si="1"/>
        <v>10</v>
      </c>
      <c r="J11" t="s">
        <v>2537</v>
      </c>
      <c r="K11" s="1" t="str">
        <f>VLOOKUP(D11,FuelSupplierContact.csv!B:M,2,FALSE)</f>
        <v>FortisBC</v>
      </c>
      <c r="L11" s="1">
        <f>IFERROR(VLOOKUP(K11,FuelSupplier.csv!D:L,9,FALSE),"rg:None")</f>
        <v>10</v>
      </c>
    </row>
    <row r="12" spans="1:12" x14ac:dyDescent="0.3">
      <c r="A12" s="1" t="s">
        <v>2401</v>
      </c>
      <c r="B12" s="1">
        <f t="shared" si="0"/>
        <v>11</v>
      </c>
      <c r="C12" s="1" t="s">
        <v>13</v>
      </c>
      <c r="D12" s="1">
        <f>FuelSupplierContact.csv!B12</f>
        <v>11</v>
      </c>
      <c r="E12" s="1" t="str">
        <f>IFERROR(VLOOKUP(D12,FuelSupplierContact.csv!B:M,6,FALSE),Names!D12)</f>
        <v>Sarah</v>
      </c>
      <c r="F12" s="1" t="str">
        <f>IFERROR(VLOOKUP(D12,FuelSupplierContact.csv!B:M,7,FALSE),Names!F12)</f>
        <v>Ward</v>
      </c>
      <c r="G12" s="1" t="s">
        <v>2400</v>
      </c>
      <c r="H12" s="1" t="str">
        <f>IFERROR(VLOOKUP(D12,FuelSupplierContact.csv!B:M,10,FALSE),Names!M12)</f>
        <v>SarahKWard@teleworm.us</v>
      </c>
      <c r="I12" s="1">
        <f t="shared" si="1"/>
        <v>11</v>
      </c>
      <c r="J12" t="s">
        <v>2537</v>
      </c>
      <c r="K12" s="1" t="str">
        <f>VLOOKUP(D12,FuelSupplierContact.csv!B:M,2,FALSE)</f>
        <v>HTEC</v>
      </c>
      <c r="L12" s="1">
        <f>IFERROR(VLOOKUP(K12,FuelSupplier.csv!D:L,9,FALSE),"rg:None")</f>
        <v>11</v>
      </c>
    </row>
    <row r="13" spans="1:12" x14ac:dyDescent="0.3">
      <c r="A13" s="1" t="s">
        <v>2401</v>
      </c>
      <c r="B13" s="1">
        <f t="shared" si="0"/>
        <v>12</v>
      </c>
      <c r="C13" s="1" t="s">
        <v>13</v>
      </c>
      <c r="D13" s="1">
        <f>FuelSupplierContact.csv!B13</f>
        <v>12</v>
      </c>
      <c r="E13" s="1" t="str">
        <f>IFERROR(VLOOKUP(D13,FuelSupplierContact.csv!B:M,6,FALSE),Names!D13)</f>
        <v>Harry</v>
      </c>
      <c r="F13" s="1" t="str">
        <f>IFERROR(VLOOKUP(D13,FuelSupplierContact.csv!B:M,7,FALSE),Names!F13)</f>
        <v>Solomon</v>
      </c>
      <c r="G13" s="1" t="s">
        <v>2400</v>
      </c>
      <c r="H13" s="1" t="str">
        <f>IFERROR(VLOOKUP(D13,FuelSupplierContact.csv!B:M,10,FALSE),Names!M13)</f>
        <v>HarryDSolomon@armyspy.com</v>
      </c>
      <c r="I13" s="1">
        <f t="shared" si="1"/>
        <v>12</v>
      </c>
      <c r="J13" t="s">
        <v>2537</v>
      </c>
      <c r="K13" s="1" t="str">
        <f>VLOOKUP(D13,FuelSupplierContact.csv!B:M,2,FALSE)</f>
        <v>Energy Corp</v>
      </c>
      <c r="L13" s="1">
        <f>IFERROR(VLOOKUP(K13,FuelSupplier.csv!D:L,9,FALSE),"rg:None")</f>
        <v>12</v>
      </c>
    </row>
    <row r="14" spans="1:12" x14ac:dyDescent="0.3">
      <c r="A14" s="1" t="s">
        <v>2401</v>
      </c>
      <c r="B14" s="1">
        <f t="shared" si="0"/>
        <v>13</v>
      </c>
      <c r="C14" s="1" t="s">
        <v>13</v>
      </c>
      <c r="D14" s="1">
        <f>FuelSupplierContact.csv!B14</f>
        <v>13</v>
      </c>
      <c r="E14" s="1" t="str">
        <f>IFERROR(VLOOKUP(D14,FuelSupplierContact.csv!B:M,6,FALSE),Names!D14)</f>
        <v>Cheryl</v>
      </c>
      <c r="F14" s="1" t="str">
        <f>IFERROR(VLOOKUP(D14,FuelSupplierContact.csv!B:M,7,FALSE),Names!F14)</f>
        <v>Mills</v>
      </c>
      <c r="G14" s="1" t="s">
        <v>2400</v>
      </c>
      <c r="H14" s="1" t="str">
        <f>IFERROR(VLOOKUP(D14,FuelSupplierContact.csv!B:M,10,FALSE),Names!M14)</f>
        <v>CherylGMills@armyspy.com</v>
      </c>
      <c r="I14" s="1">
        <f t="shared" si="1"/>
        <v>13</v>
      </c>
      <c r="J14" t="s">
        <v>2537</v>
      </c>
      <c r="K14" s="1" t="str">
        <f>VLOOKUP(D14,FuelSupplierContact.csv!B:M,2,FALSE)</f>
        <v>Husky Oil</v>
      </c>
      <c r="L14" s="1">
        <f>IFERROR(VLOOKUP(K14,FuelSupplier.csv!D:L,9,FALSE),"rg:None")</f>
        <v>13</v>
      </c>
    </row>
    <row r="15" spans="1:12" x14ac:dyDescent="0.3">
      <c r="A15" s="1" t="s">
        <v>2401</v>
      </c>
      <c r="B15" s="1">
        <f t="shared" si="0"/>
        <v>14</v>
      </c>
      <c r="C15" s="1" t="s">
        <v>13</v>
      </c>
      <c r="D15" s="1">
        <f>FuelSupplierContact.csv!B15</f>
        <v>14</v>
      </c>
      <c r="E15" s="1" t="str">
        <f>IFERROR(VLOOKUP(D15,FuelSupplierContact.csv!B:M,6,FALSE),Names!D15)</f>
        <v>Michael</v>
      </c>
      <c r="F15" s="1" t="str">
        <f>IFERROR(VLOOKUP(D15,FuelSupplierContact.csv!B:M,7,FALSE),Names!F15)</f>
        <v>Wilkerson</v>
      </c>
      <c r="G15" s="1" t="s">
        <v>2400</v>
      </c>
      <c r="H15" s="1" t="str">
        <f>IFERROR(VLOOKUP(D15,FuelSupplierContact.csv!B:M,10,FALSE),Names!M15)</f>
        <v>MichaelGWilkerson@gustr.com</v>
      </c>
      <c r="I15" s="1">
        <f t="shared" si="1"/>
        <v>14</v>
      </c>
      <c r="J15" t="s">
        <v>2537</v>
      </c>
      <c r="K15" s="1" t="str">
        <f>VLOOKUP(D15,FuelSupplierContact.csv!B:M,2,FALSE)</f>
        <v>Imperial Oil Limited</v>
      </c>
      <c r="L15" s="1">
        <f>IFERROR(VLOOKUP(K15,FuelSupplier.csv!D:L,9,FALSE),"rg:None")</f>
        <v>14</v>
      </c>
    </row>
    <row r="16" spans="1:12" x14ac:dyDescent="0.3">
      <c r="A16" s="1" t="s">
        <v>2401</v>
      </c>
      <c r="B16" s="1">
        <f t="shared" si="0"/>
        <v>15</v>
      </c>
      <c r="C16" s="1" t="s">
        <v>13</v>
      </c>
      <c r="D16" s="1">
        <f>FuelSupplierContact.csv!B16</f>
        <v>15</v>
      </c>
      <c r="E16" s="1" t="str">
        <f>IFERROR(VLOOKUP(D16,FuelSupplierContact.csv!B:M,6,FALSE),Names!D16)</f>
        <v>Celia</v>
      </c>
      <c r="F16" s="1" t="str">
        <f>IFERROR(VLOOKUP(D16,FuelSupplierContact.csv!B:M,7,FALSE),Names!F16)</f>
        <v>Schreier</v>
      </c>
      <c r="G16" s="1" t="s">
        <v>2400</v>
      </c>
      <c r="H16" s="1" t="str">
        <f>IFERROR(VLOOKUP(D16,FuelSupplierContact.csv!B:M,10,FALSE),Names!M16)</f>
        <v>CeliaWSchreier@jourrapide.com</v>
      </c>
      <c r="I16" s="1">
        <f t="shared" si="1"/>
        <v>15</v>
      </c>
      <c r="J16" t="s">
        <v>2537</v>
      </c>
      <c r="K16" s="1" t="str">
        <f>VLOOKUP(D16,FuelSupplierContact.csv!B:M,2,FALSE)</f>
        <v>Frontenac Petroleum</v>
      </c>
      <c r="L16" s="1">
        <f>IFERROR(VLOOKUP(K16,FuelSupplier.csv!D:L,9,FALSE),"rg:None")</f>
        <v>15</v>
      </c>
    </row>
    <row r="17" spans="1:12" x14ac:dyDescent="0.3">
      <c r="A17" s="1" t="s">
        <v>2401</v>
      </c>
      <c r="B17" s="1">
        <f t="shared" si="0"/>
        <v>16</v>
      </c>
      <c r="C17" s="1" t="s">
        <v>13</v>
      </c>
      <c r="D17" s="1">
        <f>FuelSupplierContact.csv!B17</f>
        <v>16</v>
      </c>
      <c r="E17" s="1" t="str">
        <f>IFERROR(VLOOKUP(D17,FuelSupplierContact.csv!B:M,6,FALSE),Names!D17)</f>
        <v>Lillian</v>
      </c>
      <c r="F17" s="1" t="str">
        <f>IFERROR(VLOOKUP(D17,FuelSupplierContact.csv!B:M,7,FALSE),Names!F17)</f>
        <v>Warner</v>
      </c>
      <c r="G17" s="1" t="s">
        <v>2400</v>
      </c>
      <c r="H17" s="1" t="str">
        <f>IFERROR(VLOOKUP(D17,FuelSupplierContact.csv!B:M,10,FALSE),Names!M17)</f>
        <v>LillianJWarner@teleworm.us</v>
      </c>
      <c r="I17" s="1">
        <f t="shared" si="1"/>
        <v>16</v>
      </c>
      <c r="J17" t="s">
        <v>2537</v>
      </c>
      <c r="K17" s="1" t="str">
        <f>VLOOKUP(D17,FuelSupplierContact.csv!B:M,2,FALSE)</f>
        <v>Powerex Corp</v>
      </c>
      <c r="L17" s="1">
        <f>IFERROR(VLOOKUP(K17,FuelSupplier.csv!D:L,9,FALSE),"rg:None")</f>
        <v>16</v>
      </c>
    </row>
    <row r="18" spans="1:12" x14ac:dyDescent="0.3">
      <c r="A18" s="1" t="s">
        <v>2401</v>
      </c>
      <c r="B18" s="1">
        <f t="shared" si="0"/>
        <v>17</v>
      </c>
      <c r="C18" s="1" t="s">
        <v>13</v>
      </c>
      <c r="D18" s="1">
        <f>FuelSupplierContact.csv!B18</f>
        <v>17</v>
      </c>
      <c r="E18" s="1" t="str">
        <f>IFERROR(VLOOKUP(D18,FuelSupplierContact.csv!B:M,6,FALSE),Names!D18)</f>
        <v>Marilyn</v>
      </c>
      <c r="F18" s="1" t="str">
        <f>IFERROR(VLOOKUP(D18,FuelSupplierContact.csv!B:M,7,FALSE),Names!F18)</f>
        <v>Novak</v>
      </c>
      <c r="G18" s="1" t="s">
        <v>2400</v>
      </c>
      <c r="H18" s="1" t="str">
        <f>IFERROR(VLOOKUP(D18,FuelSupplierContact.csv!B:M,10,FALSE),Names!M18)</f>
        <v>MarilynBNovak@jourrapide.com</v>
      </c>
      <c r="I18" s="1">
        <f t="shared" si="1"/>
        <v>17</v>
      </c>
      <c r="J18" t="s">
        <v>2537</v>
      </c>
      <c r="K18" s="1" t="str">
        <f>VLOOKUP(D18,FuelSupplierContact.csv!B:M,2,FALSE)</f>
        <v>Powertech Labs</v>
      </c>
      <c r="L18" s="1">
        <f>IFERROR(VLOOKUP(K18,FuelSupplier.csv!D:L,9,FALSE),"rg:None")</f>
        <v>17</v>
      </c>
    </row>
    <row r="19" spans="1:12" x14ac:dyDescent="0.3">
      <c r="A19" s="1" t="s">
        <v>2401</v>
      </c>
      <c r="B19" s="1">
        <f t="shared" si="0"/>
        <v>18</v>
      </c>
      <c r="C19" s="1" t="s">
        <v>13</v>
      </c>
      <c r="D19" s="1">
        <f>FuelSupplierContact.csv!B19</f>
        <v>18</v>
      </c>
      <c r="E19" s="1" t="str">
        <f>IFERROR(VLOOKUP(D19,FuelSupplierContact.csv!B:M,6,FALSE),Names!D19)</f>
        <v>Joshua</v>
      </c>
      <c r="F19" s="1" t="str">
        <f>IFERROR(VLOOKUP(D19,FuelSupplierContact.csv!B:M,7,FALSE),Names!F19)</f>
        <v>Bjork</v>
      </c>
      <c r="G19" s="1" t="s">
        <v>2400</v>
      </c>
      <c r="H19" s="1" t="str">
        <f>IFERROR(VLOOKUP(D19,FuelSupplierContact.csv!B:M,10,FALSE),Names!M19)</f>
        <v>JoshuaKBjork@jourrapide.com</v>
      </c>
      <c r="I19" s="1">
        <f t="shared" si="1"/>
        <v>18</v>
      </c>
      <c r="J19" t="s">
        <v>2537</v>
      </c>
      <c r="K19" s="1" t="str">
        <f>VLOOKUP(D19,FuelSupplierContact.csv!B:M,2,FALSE)</f>
        <v>Shell Canada</v>
      </c>
      <c r="L19" s="1">
        <f>IFERROR(VLOOKUP(K19,FuelSupplier.csv!D:L,9,FALSE),"rg:None")</f>
        <v>18</v>
      </c>
    </row>
    <row r="20" spans="1:12" x14ac:dyDescent="0.3">
      <c r="A20" s="1" t="s">
        <v>2401</v>
      </c>
      <c r="B20" s="1">
        <f t="shared" si="0"/>
        <v>19</v>
      </c>
      <c r="C20" s="1" t="s">
        <v>13</v>
      </c>
      <c r="D20" s="1">
        <f>FuelSupplierContact.csv!B20</f>
        <v>19</v>
      </c>
      <c r="E20" s="1" t="str">
        <f>IFERROR(VLOOKUP(D20,FuelSupplierContact.csv!B:M,6,FALSE),Names!D20)</f>
        <v>Patricia</v>
      </c>
      <c r="F20" s="1" t="str">
        <f>IFERROR(VLOOKUP(D20,FuelSupplierContact.csv!B:M,7,FALSE),Names!F20)</f>
        <v>Riley</v>
      </c>
      <c r="G20" s="1" t="s">
        <v>2400</v>
      </c>
      <c r="H20" s="1" t="str">
        <f>IFERROR(VLOOKUP(D20,FuelSupplierContact.csv!B:M,10,FALSE),Names!M20)</f>
        <v>PatriciaJRiley@dayrep.com</v>
      </c>
      <c r="I20" s="1">
        <f t="shared" si="1"/>
        <v>19</v>
      </c>
      <c r="J20" t="s">
        <v>2537</v>
      </c>
      <c r="K20" s="1" t="str">
        <f>VLOOKUP(D20,FuelSupplierContact.csv!B:M,2,FALSE)</f>
        <v>Smithrite Disposal</v>
      </c>
      <c r="L20" s="1">
        <f>IFERROR(VLOOKUP(K20,FuelSupplier.csv!D:L,9,FALSE),"rg:None")</f>
        <v>19</v>
      </c>
    </row>
    <row r="21" spans="1:12" x14ac:dyDescent="0.3">
      <c r="A21" s="1" t="s">
        <v>2401</v>
      </c>
      <c r="B21" s="1">
        <f t="shared" si="0"/>
        <v>20</v>
      </c>
      <c r="C21" s="1" t="s">
        <v>13</v>
      </c>
      <c r="D21" s="1">
        <f>FuelSupplierContact.csv!B21</f>
        <v>20</v>
      </c>
      <c r="E21" s="1" t="str">
        <f>IFERROR(VLOOKUP(D21,FuelSupplierContact.csv!B:M,6,FALSE),Names!D21)</f>
        <v>Beverly</v>
      </c>
      <c r="F21" s="1" t="str">
        <f>IFERROR(VLOOKUP(D21,FuelSupplierContact.csv!B:M,7,FALSE),Names!F21)</f>
        <v>Clyde</v>
      </c>
      <c r="G21" s="1" t="s">
        <v>2400</v>
      </c>
      <c r="H21" s="1" t="str">
        <f>IFERROR(VLOOKUP(D21,FuelSupplierContact.csv!B:M,10,FALSE),Names!M21)</f>
        <v>BeverlyWClyde@rhyta.com</v>
      </c>
      <c r="I21" s="1">
        <f t="shared" si="1"/>
        <v>20</v>
      </c>
      <c r="J21" t="s">
        <v>2537</v>
      </c>
      <c r="K21" s="1" t="str">
        <f>VLOOKUP(D21,FuelSupplierContact.csv!B:M,2,FALSE)</f>
        <v>South Coast</v>
      </c>
      <c r="L21" s="1">
        <f>IFERROR(VLOOKUP(K21,FuelSupplier.csv!D:L,9,FALSE),"rg:None")</f>
        <v>20</v>
      </c>
    </row>
    <row r="22" spans="1:12" x14ac:dyDescent="0.3">
      <c r="A22" s="1" t="s">
        <v>2401</v>
      </c>
      <c r="B22" s="1">
        <f t="shared" si="0"/>
        <v>21</v>
      </c>
      <c r="C22" s="1" t="s">
        <v>13</v>
      </c>
      <c r="D22" s="1">
        <f>FuelSupplierContact.csv!B22</f>
        <v>21</v>
      </c>
      <c r="E22" s="1" t="str">
        <f>IFERROR(VLOOKUP(D22,FuelSupplierContact.csv!B:M,6,FALSE),Names!D22)</f>
        <v>Bill</v>
      </c>
      <c r="F22" s="1" t="str">
        <f>IFERROR(VLOOKUP(D22,FuelSupplierContact.csv!B:M,7,FALSE),Names!F22)</f>
        <v>Finley</v>
      </c>
      <c r="G22" s="1" t="s">
        <v>2400</v>
      </c>
      <c r="H22" s="1" t="str">
        <f>IFERROR(VLOOKUP(D22,FuelSupplierContact.csv!B:M,10,FALSE),Names!M22)</f>
        <v>BillMFinley@gustr.com</v>
      </c>
      <c r="I22" s="1">
        <f t="shared" si="1"/>
        <v>21</v>
      </c>
      <c r="J22" t="s">
        <v>2537</v>
      </c>
      <c r="K22" s="1" t="str">
        <f>VLOOKUP(D22,FuelSupplierContact.csv!B:M,2,FALSE)</f>
        <v>TransLink</v>
      </c>
      <c r="L22" s="1">
        <f>IFERROR(VLOOKUP(K22,FuelSupplier.csv!D:L,9,FALSE),"rg:None")</f>
        <v>21</v>
      </c>
    </row>
    <row r="23" spans="1:12" x14ac:dyDescent="0.3">
      <c r="A23" s="1" t="s">
        <v>2401</v>
      </c>
      <c r="B23" s="1">
        <f t="shared" si="0"/>
        <v>22</v>
      </c>
      <c r="C23" s="1" t="s">
        <v>13</v>
      </c>
      <c r="D23" s="1">
        <f>FuelSupplierContact.csv!B23</f>
        <v>22</v>
      </c>
      <c r="E23" s="1" t="str">
        <f>IFERROR(VLOOKUP(D23,FuelSupplierContact.csv!B:M,6,FALSE),Names!D23)</f>
        <v>Charles</v>
      </c>
      <c r="F23" s="1" t="str">
        <f>IFERROR(VLOOKUP(D23,FuelSupplierContact.csv!B:M,7,FALSE),Names!F23)</f>
        <v>Seng</v>
      </c>
      <c r="G23" s="1" t="s">
        <v>2400</v>
      </c>
      <c r="H23" s="1" t="str">
        <f>IFERROR(VLOOKUP(D23,FuelSupplierContact.csv!B:M,10,FALSE),Names!M23)</f>
        <v>CharlesJSeng@armyspy.com</v>
      </c>
      <c r="I23" s="1">
        <f t="shared" si="1"/>
        <v>22</v>
      </c>
      <c r="J23" t="s">
        <v>2537</v>
      </c>
      <c r="K23" s="1" t="str">
        <f>VLOOKUP(D23,FuelSupplierContact.csv!B:M,2,FALSE)</f>
        <v>Suncor</v>
      </c>
      <c r="L23" s="1">
        <f>IFERROR(VLOOKUP(K23,FuelSupplier.csv!D:L,9,FALSE),"rg:None")</f>
        <v>22</v>
      </c>
    </row>
    <row r="24" spans="1:12" x14ac:dyDescent="0.3">
      <c r="A24" s="1" t="s">
        <v>2401</v>
      </c>
      <c r="B24" s="1">
        <f t="shared" si="0"/>
        <v>23</v>
      </c>
      <c r="C24" s="1" t="s">
        <v>13</v>
      </c>
      <c r="D24" s="1">
        <f>FuelSupplierContact.csv!B24</f>
        <v>23</v>
      </c>
      <c r="E24" s="1" t="str">
        <f>IFERROR(VLOOKUP(D24,FuelSupplierContact.csv!B:M,6,FALSE),Names!D24)</f>
        <v>Robert</v>
      </c>
      <c r="F24" s="1" t="str">
        <f>IFERROR(VLOOKUP(D24,FuelSupplierContact.csv!B:M,7,FALSE),Names!F24)</f>
        <v>Miller</v>
      </c>
      <c r="G24" s="1" t="s">
        <v>2400</v>
      </c>
      <c r="H24" s="1" t="str">
        <f>IFERROR(VLOOKUP(D24,FuelSupplierContact.csv!B:M,10,FALSE),Names!M24)</f>
        <v>RobertGMiller@teleworm.us</v>
      </c>
      <c r="I24" s="1">
        <f t="shared" si="1"/>
        <v>23</v>
      </c>
      <c r="J24" t="s">
        <v>2537</v>
      </c>
      <c r="K24" s="1" t="str">
        <f>VLOOKUP(D24,FuelSupplierContact.csv!B:M,2,FALSE)</f>
        <v>Superior Propane</v>
      </c>
      <c r="L24" s="1">
        <f>IFERROR(VLOOKUP(K24,FuelSupplier.csv!D:L,9,FALSE),"rg:None")</f>
        <v>23</v>
      </c>
    </row>
    <row r="25" spans="1:12" x14ac:dyDescent="0.3">
      <c r="A25" s="1" t="s">
        <v>2401</v>
      </c>
      <c r="B25" s="1">
        <f t="shared" si="0"/>
        <v>24</v>
      </c>
      <c r="C25" s="1" t="s">
        <v>13</v>
      </c>
      <c r="D25" s="1">
        <f>FuelSupplierContact.csv!B25</f>
        <v>24</v>
      </c>
      <c r="E25" s="1" t="str">
        <f>IFERROR(VLOOKUP(D25,FuelSupplierContact.csv!B:M,6,FALSE),Names!D25)</f>
        <v>David</v>
      </c>
      <c r="F25" s="1" t="str">
        <f>IFERROR(VLOOKUP(D25,FuelSupplierContact.csv!B:M,7,FALSE),Names!F25)</f>
        <v>Kelly</v>
      </c>
      <c r="G25" s="1" t="s">
        <v>2400</v>
      </c>
      <c r="H25" s="1" t="str">
        <f>IFERROR(VLOOKUP(D25,FuelSupplierContact.csv!B:M,10,FALSE),Names!M25)</f>
        <v>DavidBKelly@gustr.com</v>
      </c>
      <c r="I25" s="1">
        <f t="shared" si="1"/>
        <v>24</v>
      </c>
      <c r="J25" t="s">
        <v>2537</v>
      </c>
      <c r="K25" s="1" t="str">
        <f>VLOOKUP(D25,FuelSupplierContact.csv!B:M,2,FALSE)</f>
        <v>Super Save Group</v>
      </c>
      <c r="L25" s="1">
        <f>IFERROR(VLOOKUP(K25,FuelSupplier.csv!D:L,9,FALSE),"rg:None")</f>
        <v>24</v>
      </c>
    </row>
    <row r="26" spans="1:12" x14ac:dyDescent="0.3">
      <c r="A26" s="1" t="s">
        <v>2401</v>
      </c>
      <c r="B26" s="1">
        <f t="shared" si="0"/>
        <v>25</v>
      </c>
      <c r="C26" s="1" t="s">
        <v>13</v>
      </c>
      <c r="D26" s="1">
        <f>FuelSupplierContact.csv!B26</f>
        <v>0</v>
      </c>
      <c r="E26" s="1" t="str">
        <f>IFERROR(VLOOKUP(D26,FuelSupplierContact.csv!B:M,6,FALSE),Names!D26)</f>
        <v>Emory</v>
      </c>
      <c r="F26" s="1" t="str">
        <f>IFERROR(VLOOKUP(D26,FuelSupplierContact.csv!B:M,7,FALSE),Names!F26)</f>
        <v>Hanson</v>
      </c>
      <c r="G26" s="1" t="s">
        <v>2400</v>
      </c>
      <c r="H26" s="1" t="str">
        <f>IFERROR(VLOOKUP(D26,FuelSupplierContact.csv!B:M,10,FALSE),Names!M26)</f>
        <v>EmoryCHanson@armyspy.com</v>
      </c>
      <c r="I26" s="1">
        <f t="shared" si="1"/>
        <v>25</v>
      </c>
      <c r="J26" t="s">
        <v>2439</v>
      </c>
      <c r="K26" s="1" t="s">
        <v>2573</v>
      </c>
      <c r="L26" s="1">
        <f>IFERROR(VLOOKUP(K26,FuelSupplier.csv!D:L,9,FALSE),"rg:None")</f>
        <v>1</v>
      </c>
    </row>
    <row r="27" spans="1:12" x14ac:dyDescent="0.3">
      <c r="A27" s="1" t="s">
        <v>2401</v>
      </c>
      <c r="B27" s="1">
        <f t="shared" si="0"/>
        <v>26</v>
      </c>
      <c r="C27" s="1" t="s">
        <v>13</v>
      </c>
      <c r="D27" s="1">
        <f>FuelSupplierContact.csv!B27</f>
        <v>0</v>
      </c>
      <c r="E27" s="1" t="str">
        <f>IFERROR(VLOOKUP(D27,FuelSupplierContact.csv!B:M,6,FALSE),Names!D27)</f>
        <v>Richard</v>
      </c>
      <c r="F27" s="1" t="str">
        <f>IFERROR(VLOOKUP(D27,FuelSupplierContact.csv!B:M,7,FALSE),Names!F27)</f>
        <v>Turner</v>
      </c>
      <c r="G27" s="1" t="s">
        <v>2400</v>
      </c>
      <c r="H27" s="1" t="str">
        <f>IFERROR(VLOOKUP(D27,FuelSupplierContact.csv!B:M,10,FALSE),Names!M27)</f>
        <v>RichardETurner@jourrapide.com</v>
      </c>
      <c r="I27" s="1">
        <f t="shared" si="1"/>
        <v>26</v>
      </c>
      <c r="J27" t="s">
        <v>2439</v>
      </c>
      <c r="K27" s="1" t="s">
        <v>2573</v>
      </c>
      <c r="L27" s="1">
        <f>IFERROR(VLOOKUP(K27,FuelSupplier.csv!D:L,9,FALSE),"rg:None")</f>
        <v>1</v>
      </c>
    </row>
    <row r="28" spans="1:12" x14ac:dyDescent="0.3">
      <c r="A28" s="1" t="s">
        <v>2401</v>
      </c>
      <c r="B28" s="1">
        <f t="shared" si="0"/>
        <v>27</v>
      </c>
      <c r="C28" s="1" t="s">
        <v>13</v>
      </c>
      <c r="D28" s="1">
        <f>FuelSupplierContact.csv!B28</f>
        <v>0</v>
      </c>
      <c r="E28" s="1" t="str">
        <f>IFERROR(VLOOKUP(D28,FuelSupplierContact.csv!B:M,6,FALSE),Names!D28)</f>
        <v>Cletus</v>
      </c>
      <c r="F28" s="1" t="str">
        <f>IFERROR(VLOOKUP(D28,FuelSupplierContact.csv!B:M,7,FALSE),Names!F28)</f>
        <v>Hill</v>
      </c>
      <c r="G28" s="1" t="s">
        <v>2400</v>
      </c>
      <c r="H28" s="1" t="str">
        <f>IFERROR(VLOOKUP(D28,FuelSupplierContact.csv!B:M,10,FALSE),Names!M28)</f>
        <v>CletusDHill@gustr.com</v>
      </c>
      <c r="I28" s="1">
        <f t="shared" si="1"/>
        <v>27</v>
      </c>
      <c r="J28" t="s">
        <v>2439</v>
      </c>
      <c r="K28" s="1" t="s">
        <v>2579</v>
      </c>
      <c r="L28" s="1">
        <f>IFERROR(VLOOKUP(K28,FuelSupplier.csv!D:L,9,FALSE),"rg:None")</f>
        <v>5</v>
      </c>
    </row>
    <row r="29" spans="1:12" x14ac:dyDescent="0.3">
      <c r="A29" s="1" t="s">
        <v>2401</v>
      </c>
      <c r="B29" s="1">
        <f t="shared" si="0"/>
        <v>28</v>
      </c>
      <c r="C29" s="1" t="s">
        <v>13</v>
      </c>
      <c r="D29" s="1">
        <f>FuelSupplierContact.csv!B29</f>
        <v>0</v>
      </c>
      <c r="E29" s="1" t="str">
        <f>IFERROR(VLOOKUP(D29,FuelSupplierContact.csv!B:M,6,FALSE),Names!D29)</f>
        <v>Nancy</v>
      </c>
      <c r="F29" s="1" t="str">
        <f>IFERROR(VLOOKUP(D29,FuelSupplierContact.csv!B:M,7,FALSE),Names!F29)</f>
        <v>Foley</v>
      </c>
      <c r="G29" s="1" t="s">
        <v>2400</v>
      </c>
      <c r="H29" s="1" t="str">
        <f>IFERROR(VLOOKUP(D29,FuelSupplierContact.csv!B:M,10,FALSE),Names!M29)</f>
        <v>NancyFFoley@cuvox.de</v>
      </c>
      <c r="I29" s="1">
        <f t="shared" si="1"/>
        <v>28</v>
      </c>
      <c r="J29" t="s">
        <v>2439</v>
      </c>
      <c r="K29" s="1" t="s">
        <v>2579</v>
      </c>
      <c r="L29" s="1">
        <f>IFERROR(VLOOKUP(K29,FuelSupplier.csv!D:L,9,FALSE),"rg:None")</f>
        <v>5</v>
      </c>
    </row>
    <row r="30" spans="1:12" x14ac:dyDescent="0.3">
      <c r="A30" s="1" t="s">
        <v>2401</v>
      </c>
      <c r="B30" s="1">
        <f t="shared" si="0"/>
        <v>29</v>
      </c>
      <c r="C30" s="1" t="s">
        <v>13</v>
      </c>
      <c r="D30" s="1">
        <f>FuelSupplierContact.csv!B30</f>
        <v>0</v>
      </c>
      <c r="E30" s="1" t="str">
        <f>IFERROR(VLOOKUP(D30,FuelSupplierContact.csv!B:M,6,FALSE),Names!D30)</f>
        <v>Nichole</v>
      </c>
      <c r="F30" s="1" t="str">
        <f>IFERROR(VLOOKUP(D30,FuelSupplierContact.csv!B:M,7,FALSE),Names!F30)</f>
        <v>Mitchell</v>
      </c>
      <c r="G30" s="1" t="s">
        <v>2400</v>
      </c>
      <c r="H30" s="1" t="str">
        <f>IFERROR(VLOOKUP(D30,FuelSupplierContact.csv!B:M,10,FALSE),Names!M30)</f>
        <v>NicholeDMitchell@fleckens.hu</v>
      </c>
      <c r="I30" s="1">
        <f t="shared" si="1"/>
        <v>29</v>
      </c>
      <c r="J30" t="s">
        <v>2439</v>
      </c>
      <c r="K30" s="1" t="s">
        <v>2587</v>
      </c>
      <c r="L30" s="1">
        <f>IFERROR(VLOOKUP(K30,FuelSupplier.csv!D:L,9,FALSE),"rg:None")</f>
        <v>16</v>
      </c>
    </row>
    <row r="31" spans="1:12" x14ac:dyDescent="0.3">
      <c r="A31" s="1" t="s">
        <v>2401</v>
      </c>
      <c r="B31" s="1">
        <f t="shared" si="0"/>
        <v>30</v>
      </c>
      <c r="C31" s="1" t="s">
        <v>13</v>
      </c>
      <c r="D31" s="1">
        <f>FuelSupplierContact.csv!B31</f>
        <v>0</v>
      </c>
      <c r="E31" s="1" t="str">
        <f>IFERROR(VLOOKUP(D31,FuelSupplierContact.csv!B:M,6,FALSE),Names!D31)</f>
        <v>Ricky</v>
      </c>
      <c r="F31" s="1" t="str">
        <f>IFERROR(VLOOKUP(D31,FuelSupplierContact.csv!B:M,7,FALSE),Names!F31)</f>
        <v>Nestor</v>
      </c>
      <c r="G31" s="1" t="s">
        <v>2400</v>
      </c>
      <c r="H31" s="1" t="str">
        <f>IFERROR(VLOOKUP(D31,FuelSupplierContact.csv!B:M,10,FALSE),Names!M31)</f>
        <v>RickyFNestor@rhyta.com</v>
      </c>
      <c r="I31" s="1">
        <f t="shared" si="1"/>
        <v>30</v>
      </c>
      <c r="J31" t="s">
        <v>2439</v>
      </c>
      <c r="K31" s="1" t="s">
        <v>2587</v>
      </c>
      <c r="L31" s="1">
        <f>IFERROR(VLOOKUP(K31,FuelSupplier.csv!D:L,9,FALSE),"rg:None")</f>
        <v>16</v>
      </c>
    </row>
    <row r="32" spans="1:12" x14ac:dyDescent="0.3">
      <c r="A32" s="1" t="s">
        <v>2401</v>
      </c>
      <c r="B32" s="1">
        <f t="shared" si="0"/>
        <v>31</v>
      </c>
      <c r="C32" s="1" t="s">
        <v>13</v>
      </c>
      <c r="D32" s="1">
        <f>FuelSupplierContact.csv!B32</f>
        <v>0</v>
      </c>
      <c r="E32" s="1" t="str">
        <f>IFERROR(VLOOKUP(D32,FuelSupplierContact.csv!B:M,6,FALSE),Names!D32)</f>
        <v>Dorothy</v>
      </c>
      <c r="F32" s="1" t="str">
        <f>IFERROR(VLOOKUP(D32,FuelSupplierContact.csv!B:M,7,FALSE),Names!F32)</f>
        <v>Fisher</v>
      </c>
      <c r="G32" s="1" t="s">
        <v>2400</v>
      </c>
      <c r="H32" s="1" t="str">
        <f>IFERROR(VLOOKUP(D32,FuelSupplierContact.csv!B:M,10,FALSE),Names!M32)</f>
        <v>DorothyJFisher@dayrep.com</v>
      </c>
      <c r="I32" s="1">
        <f t="shared" si="1"/>
        <v>31</v>
      </c>
      <c r="J32" t="s">
        <v>2537</v>
      </c>
      <c r="K32" s="1" t="s">
        <v>2583</v>
      </c>
      <c r="L32" s="1">
        <f>IFERROR(VLOOKUP(K32,FuelSupplier.csv!D:L,9,FALSE),"rg:None")</f>
        <v>9</v>
      </c>
    </row>
    <row r="33" spans="1:12" x14ac:dyDescent="0.3">
      <c r="A33" s="1" t="s">
        <v>2401</v>
      </c>
      <c r="B33" s="1">
        <f t="shared" si="0"/>
        <v>32</v>
      </c>
      <c r="C33" s="1" t="s">
        <v>13</v>
      </c>
      <c r="D33" s="1">
        <f>FuelSupplierContact.csv!B33</f>
        <v>0</v>
      </c>
      <c r="E33" s="1" t="str">
        <f>IFERROR(VLOOKUP(D33,FuelSupplierContact.csv!B:M,6,FALSE),Names!D33)</f>
        <v>Bruce</v>
      </c>
      <c r="F33" s="1" t="str">
        <f>IFERROR(VLOOKUP(D33,FuelSupplierContact.csv!B:M,7,FALSE),Names!F33)</f>
        <v>Welsh</v>
      </c>
      <c r="G33" s="1" t="s">
        <v>2400</v>
      </c>
      <c r="H33" s="1" t="str">
        <f>IFERROR(VLOOKUP(D33,FuelSupplierContact.csv!B:M,10,FALSE),Names!M33)</f>
        <v>BruceIWelsh@teleworm.us</v>
      </c>
      <c r="I33" s="1">
        <f t="shared" si="1"/>
        <v>32</v>
      </c>
      <c r="J33" t="s">
        <v>2439</v>
      </c>
      <c r="K33" s="1" t="s">
        <v>2583</v>
      </c>
      <c r="L33" s="1">
        <f>IFERROR(VLOOKUP(K33,FuelSupplier.csv!D:L,9,FALSE),"rg:None")</f>
        <v>9</v>
      </c>
    </row>
    <row r="34" spans="1:12" x14ac:dyDescent="0.3">
      <c r="A34" s="1" t="s">
        <v>2401</v>
      </c>
      <c r="B34" s="1">
        <f t="shared" si="0"/>
        <v>33</v>
      </c>
      <c r="C34" s="1" t="s">
        <v>13</v>
      </c>
      <c r="D34" s="1">
        <f>FuelSupplierContact.csv!B34</f>
        <v>0</v>
      </c>
      <c r="E34" s="1" t="str">
        <f>IFERROR(VLOOKUP(D34,FuelSupplierContact.csv!B:M,6,FALSE),Names!D34)</f>
        <v>Alma</v>
      </c>
      <c r="F34" s="1" t="str">
        <f>IFERROR(VLOOKUP(D34,FuelSupplierContact.csv!B:M,7,FALSE),Names!F34)</f>
        <v>Sterling</v>
      </c>
      <c r="G34" s="1" t="s">
        <v>2400</v>
      </c>
      <c r="H34" s="1" t="str">
        <f>IFERROR(VLOOKUP(D34,FuelSupplierContact.csv!B:M,10,FALSE),Names!M34)</f>
        <v>AlmaTSterling@gustr.com</v>
      </c>
      <c r="I34" s="1">
        <f t="shared" si="1"/>
        <v>33</v>
      </c>
      <c r="J34" t="s">
        <v>2439</v>
      </c>
      <c r="K34" s="1" t="s">
        <v>2583</v>
      </c>
      <c r="L34" s="1">
        <f>IFERROR(VLOOKUP(K34,FuelSupplier.csv!D:L,9,FALSE),"rg:None")</f>
        <v>9</v>
      </c>
    </row>
    <row r="35" spans="1:12" x14ac:dyDescent="0.3">
      <c r="A35" s="1" t="s">
        <v>2401</v>
      </c>
      <c r="B35" s="1">
        <f t="shared" si="0"/>
        <v>34</v>
      </c>
      <c r="C35" s="1" t="s">
        <v>13</v>
      </c>
      <c r="D35" s="1">
        <f>FuelSupplierContact.csv!B35</f>
        <v>0</v>
      </c>
      <c r="E35" s="1" t="str">
        <f>IFERROR(VLOOKUP(D35,FuelSupplierContact.csv!B:M,6,FALSE),Names!D35)</f>
        <v>Robert</v>
      </c>
      <c r="F35" s="1" t="str">
        <f>IFERROR(VLOOKUP(D35,FuelSupplierContact.csv!B:M,7,FALSE),Names!F35)</f>
        <v>Hunt</v>
      </c>
      <c r="G35" s="1" t="s">
        <v>2400</v>
      </c>
      <c r="H35" s="1" t="str">
        <f>IFERROR(VLOOKUP(D35,FuelSupplierContact.csv!B:M,10,FALSE),Names!M35)</f>
        <v>RobertLHunt@teleworm.us</v>
      </c>
      <c r="I35" s="1">
        <f t="shared" si="1"/>
        <v>34</v>
      </c>
      <c r="J35" t="s">
        <v>2439</v>
      </c>
      <c r="K35" s="1" t="s">
        <v>2583</v>
      </c>
      <c r="L35" s="1">
        <f>IFERROR(VLOOKUP(K35,FuelSupplier.csv!D:L,9,FALSE),"rg:None")</f>
        <v>9</v>
      </c>
    </row>
    <row r="36" spans="1:12" x14ac:dyDescent="0.3">
      <c r="A36" s="1" t="s">
        <v>2401</v>
      </c>
      <c r="B36" s="1">
        <f t="shared" si="0"/>
        <v>35</v>
      </c>
      <c r="C36" s="1" t="s">
        <v>13</v>
      </c>
      <c r="D36" s="1">
        <f>FuelSupplierContact.csv!B36</f>
        <v>0</v>
      </c>
      <c r="E36" s="1" t="str">
        <f>IFERROR(VLOOKUP(D36,FuelSupplierContact.csv!B:M,6,FALSE),Names!D36)</f>
        <v>Stephanie</v>
      </c>
      <c r="F36" s="1" t="str">
        <f>IFERROR(VLOOKUP(D36,FuelSupplierContact.csv!B:M,7,FALSE),Names!F36)</f>
        <v>Young</v>
      </c>
      <c r="G36" s="1" t="s">
        <v>2400</v>
      </c>
      <c r="H36" s="1" t="str">
        <f>IFERROR(VLOOKUP(D36,FuelSupplierContact.csv!B:M,10,FALSE),Names!M36)</f>
        <v>StephanieJYoung@jourrapide.com</v>
      </c>
      <c r="I36" s="1">
        <f t="shared" si="1"/>
        <v>35</v>
      </c>
      <c r="J36" t="s">
        <v>2437</v>
      </c>
      <c r="K36" s="1" t="s">
        <v>2583</v>
      </c>
      <c r="L36" s="1">
        <f>IFERROR(VLOOKUP(K36,FuelSupplier.csv!D:L,9,FALSE),"rg:None")</f>
        <v>9</v>
      </c>
    </row>
    <row r="37" spans="1:12" x14ac:dyDescent="0.3">
      <c r="A37" s="1" t="s">
        <v>2401</v>
      </c>
      <c r="B37" s="1">
        <f t="shared" si="0"/>
        <v>36</v>
      </c>
      <c r="C37" s="1" t="s">
        <v>13</v>
      </c>
      <c r="D37" s="1">
        <f>FuelSupplierContact.csv!B37</f>
        <v>0</v>
      </c>
      <c r="E37" s="1" t="str">
        <f>IFERROR(VLOOKUP(D37,FuelSupplierContact.csv!B:M,6,FALSE),Names!D37)</f>
        <v>Wilma</v>
      </c>
      <c r="F37" s="1" t="str">
        <f>IFERROR(VLOOKUP(D37,FuelSupplierContact.csv!B:M,7,FALSE),Names!F37)</f>
        <v>Urbanski</v>
      </c>
      <c r="G37" s="1" t="s">
        <v>2400</v>
      </c>
      <c r="H37" s="1" t="str">
        <f>IFERROR(VLOOKUP(D37,FuelSupplierContact.csv!B:M,10,FALSE),Names!M37)</f>
        <v>WilmaCUrbanski@teleworm.us</v>
      </c>
      <c r="I37" s="1">
        <f t="shared" si="1"/>
        <v>36</v>
      </c>
      <c r="J37" t="s">
        <v>2437</v>
      </c>
      <c r="K37" s="1" t="s">
        <v>2583</v>
      </c>
      <c r="L37" s="1">
        <f>IFERROR(VLOOKUP(K37,FuelSupplier.csv!D:L,9,FALSE),"rg:None")</f>
        <v>9</v>
      </c>
    </row>
    <row r="38" spans="1:12" x14ac:dyDescent="0.3">
      <c r="A38" s="1" t="s">
        <v>2401</v>
      </c>
      <c r="B38" s="1">
        <f t="shared" si="0"/>
        <v>37</v>
      </c>
      <c r="C38" s="1" t="s">
        <v>13</v>
      </c>
      <c r="D38" s="1">
        <f>FuelSupplierContact.csv!B38</f>
        <v>0</v>
      </c>
      <c r="E38" s="1" t="str">
        <f>IFERROR(VLOOKUP(D38,FuelSupplierContact.csv!B:M,6,FALSE),Names!D38)</f>
        <v>Keli</v>
      </c>
      <c r="F38" s="1" t="str">
        <f>IFERROR(VLOOKUP(D38,FuelSupplierContact.csv!B:M,7,FALSE),Names!F38)</f>
        <v>Warren</v>
      </c>
      <c r="G38" s="1" t="s">
        <v>2400</v>
      </c>
      <c r="H38" s="1" t="str">
        <f>IFERROR(VLOOKUP(D38,FuelSupplierContact.csv!B:M,10,FALSE),Names!M38)</f>
        <v>KeliHWarren@rhyta.com</v>
      </c>
      <c r="I38" s="1">
        <f t="shared" si="1"/>
        <v>37</v>
      </c>
      <c r="J38" t="s">
        <v>2437</v>
      </c>
      <c r="K38" s="1" t="s">
        <v>2583</v>
      </c>
      <c r="L38" s="1">
        <f>IFERROR(VLOOKUP(K38,FuelSupplier.csv!D:L,9,FALSE),"rg:None")</f>
        <v>9</v>
      </c>
    </row>
    <row r="39" spans="1:12" x14ac:dyDescent="0.3">
      <c r="A39" s="1" t="s">
        <v>2401</v>
      </c>
      <c r="B39" s="1">
        <f t="shared" si="0"/>
        <v>38</v>
      </c>
      <c r="C39" s="1" t="s">
        <v>13</v>
      </c>
      <c r="D39" s="1">
        <f>FuelSupplierContact.csv!B39</f>
        <v>0</v>
      </c>
      <c r="E39" s="1" t="str">
        <f>IFERROR(VLOOKUP(D39,FuelSupplierContact.csv!B:M,6,FALSE),Names!D39)</f>
        <v>Ralph</v>
      </c>
      <c r="F39" s="1" t="str">
        <f>IFERROR(VLOOKUP(D39,FuelSupplierContact.csv!B:M,7,FALSE),Names!F39)</f>
        <v>Graham</v>
      </c>
      <c r="G39" s="1" t="s">
        <v>2400</v>
      </c>
      <c r="H39" s="1" t="str">
        <f>IFERROR(VLOOKUP(D39,FuelSupplierContact.csv!B:M,10,FALSE),Names!M39)</f>
        <v>RalphKGraham@rhyta.com</v>
      </c>
      <c r="I39" s="1">
        <f t="shared" si="1"/>
        <v>38</v>
      </c>
      <c r="J39" t="s">
        <v>2437</v>
      </c>
      <c r="K39" s="1" t="s">
        <v>2583</v>
      </c>
      <c r="L39" s="1">
        <f>IFERROR(VLOOKUP(K39,FuelSupplier.csv!D:L,9,FALSE),"rg:None")</f>
        <v>9</v>
      </c>
    </row>
    <row r="40" spans="1:12" x14ac:dyDescent="0.3">
      <c r="A40" s="1" t="s">
        <v>2401</v>
      </c>
      <c r="B40" s="1">
        <f t="shared" si="0"/>
        <v>39</v>
      </c>
      <c r="C40" s="1" t="s">
        <v>13</v>
      </c>
      <c r="D40" s="1">
        <f>FuelSupplierContact.csv!B40</f>
        <v>0</v>
      </c>
      <c r="E40" s="1" t="str">
        <f>IFERROR(VLOOKUP(D40,FuelSupplierContact.csv!B:M,6,FALSE),Names!D40)</f>
        <v>Margaret</v>
      </c>
      <c r="F40" s="1" t="str">
        <f>IFERROR(VLOOKUP(D40,FuelSupplierContact.csv!B:M,7,FALSE),Names!F40)</f>
        <v>Greene</v>
      </c>
      <c r="G40" s="1" t="s">
        <v>2400</v>
      </c>
      <c r="H40" s="1" t="str">
        <f>IFERROR(VLOOKUP(D40,FuelSupplierContact.csv!B:M,10,FALSE),Names!M40)</f>
        <v>MargaretRGreene@armyspy.com</v>
      </c>
      <c r="I40" s="1">
        <f t="shared" si="1"/>
        <v>39</v>
      </c>
      <c r="J40" t="s">
        <v>2437</v>
      </c>
      <c r="K40" s="1" t="s">
        <v>2583</v>
      </c>
      <c r="L40" s="1">
        <f>IFERROR(VLOOKUP(K40,FuelSupplier.csv!D:L,9,FALSE),"rg:None")</f>
        <v>9</v>
      </c>
    </row>
  </sheetData>
  <autoFilter ref="A1:L40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x14ac:dyDescent="0.3"/>
  <cols>
    <col min="2" max="2" width="12.09765625" bestFit="1" customWidth="1"/>
    <col min="3" max="3" width="9.796875" bestFit="1" customWidth="1"/>
    <col min="4" max="4" width="6.8984375" bestFit="1" customWidth="1"/>
    <col min="5" max="5" width="5.8984375" bestFit="1" customWidth="1"/>
  </cols>
  <sheetData>
    <row r="1" spans="1:6" x14ac:dyDescent="0.3">
      <c r="A1" t="s">
        <v>11</v>
      </c>
      <c r="B1" t="s">
        <v>2396</v>
      </c>
      <c r="C1" t="s">
        <v>2397</v>
      </c>
      <c r="D1" t="s">
        <v>2633</v>
      </c>
      <c r="E1" t="s">
        <v>2678</v>
      </c>
      <c r="F1" t="s">
        <v>2410</v>
      </c>
    </row>
    <row r="2" spans="1:6" x14ac:dyDescent="0.3">
      <c r="A2" t="str">
        <f>IF(LEN(users.csv!A2) &gt; 1, "userRole","-")</f>
        <v>userRole</v>
      </c>
      <c r="B2" t="str">
        <f>"'"&amp;TEXT("2017-01-01","YYYY-MM-DD")</f>
        <v>'2017-01-01</v>
      </c>
      <c r="C2" t="s">
        <v>13</v>
      </c>
      <c r="D2">
        <f>users.csv!I2</f>
        <v>1</v>
      </c>
      <c r="E2">
        <f>VLOOKUP(users.csv!J2,'roles.csv'!B:D,3,FALSE)</f>
        <v>5</v>
      </c>
      <c r="F2">
        <f>IF(ISNUMBER(F1),F1+1,1)</f>
        <v>1</v>
      </c>
    </row>
    <row r="3" spans="1:6" x14ac:dyDescent="0.3">
      <c r="A3" t="str">
        <f>IF(LEN(users.csv!A3) &gt; 1, "userRole","-")</f>
        <v>userRole</v>
      </c>
      <c r="B3" t="str">
        <f t="shared" ref="B3:B43" si="0">"'"&amp;TEXT("2017-01-01","YYYY-MM-DD")</f>
        <v>'2017-01-01</v>
      </c>
      <c r="C3" t="s">
        <v>13</v>
      </c>
      <c r="D3">
        <f>users.csv!I3</f>
        <v>2</v>
      </c>
      <c r="E3">
        <f>VLOOKUP(users.csv!J3,'roles.csv'!B:D,3,FALSE)</f>
        <v>5</v>
      </c>
      <c r="F3">
        <f t="shared" ref="F3:F43" si="1">IF(ISNUMBER(F2),F2+1,1)</f>
        <v>2</v>
      </c>
    </row>
    <row r="4" spans="1:6" x14ac:dyDescent="0.3">
      <c r="A4" t="str">
        <f>IF(LEN(users.csv!A4) &gt; 1, "userRole","-")</f>
        <v>userRole</v>
      </c>
      <c r="B4" t="str">
        <f t="shared" si="0"/>
        <v>'2017-01-01</v>
      </c>
      <c r="C4" t="s">
        <v>13</v>
      </c>
      <c r="D4">
        <f>users.csv!I4</f>
        <v>3</v>
      </c>
      <c r="E4">
        <f>VLOOKUP(users.csv!J4,'roles.csv'!B:D,3,FALSE)</f>
        <v>5</v>
      </c>
      <c r="F4">
        <f t="shared" si="1"/>
        <v>3</v>
      </c>
    </row>
    <row r="5" spans="1:6" x14ac:dyDescent="0.3">
      <c r="A5" t="str">
        <f>IF(LEN(users.csv!A5) &gt; 1, "userRole","-")</f>
        <v>userRole</v>
      </c>
      <c r="B5" t="str">
        <f t="shared" si="0"/>
        <v>'2017-01-01</v>
      </c>
      <c r="C5" t="s">
        <v>13</v>
      </c>
      <c r="D5">
        <f>users.csv!I5</f>
        <v>4</v>
      </c>
      <c r="E5">
        <f>VLOOKUP(users.csv!J5,'roles.csv'!B:D,3,FALSE)</f>
        <v>5</v>
      </c>
      <c r="F5">
        <f t="shared" si="1"/>
        <v>4</v>
      </c>
    </row>
    <row r="6" spans="1:6" x14ac:dyDescent="0.3">
      <c r="A6" t="str">
        <f>IF(LEN(users.csv!A6) &gt; 1, "userRole","-")</f>
        <v>userRole</v>
      </c>
      <c r="B6" t="str">
        <f t="shared" si="0"/>
        <v>'2017-01-01</v>
      </c>
      <c r="C6" t="s">
        <v>13</v>
      </c>
      <c r="D6">
        <f>users.csv!I6</f>
        <v>5</v>
      </c>
      <c r="E6">
        <f>VLOOKUP(users.csv!J6,'roles.csv'!B:D,3,FALSE)</f>
        <v>5</v>
      </c>
      <c r="F6">
        <f t="shared" si="1"/>
        <v>5</v>
      </c>
    </row>
    <row r="7" spans="1:6" x14ac:dyDescent="0.3">
      <c r="A7" t="str">
        <f>IF(LEN(users.csv!A7) &gt; 1, "userRole","-")</f>
        <v>userRole</v>
      </c>
      <c r="B7" t="str">
        <f t="shared" si="0"/>
        <v>'2017-01-01</v>
      </c>
      <c r="C7" t="s">
        <v>13</v>
      </c>
      <c r="D7">
        <f>users.csv!I7</f>
        <v>6</v>
      </c>
      <c r="E7">
        <f>VLOOKUP(users.csv!J7,'roles.csv'!B:D,3,FALSE)</f>
        <v>5</v>
      </c>
      <c r="F7">
        <f t="shared" si="1"/>
        <v>6</v>
      </c>
    </row>
    <row r="8" spans="1:6" x14ac:dyDescent="0.3">
      <c r="A8" t="str">
        <f>IF(LEN(users.csv!A8) &gt; 1, "userRole","-")</f>
        <v>userRole</v>
      </c>
      <c r="B8" t="str">
        <f t="shared" si="0"/>
        <v>'2017-01-01</v>
      </c>
      <c r="C8" t="s">
        <v>13</v>
      </c>
      <c r="D8">
        <f>users.csv!I8</f>
        <v>7</v>
      </c>
      <c r="E8">
        <f>VLOOKUP(users.csv!J8,'roles.csv'!B:D,3,FALSE)</f>
        <v>5</v>
      </c>
      <c r="F8">
        <f t="shared" si="1"/>
        <v>7</v>
      </c>
    </row>
    <row r="9" spans="1:6" x14ac:dyDescent="0.3">
      <c r="A9" t="str">
        <f>IF(LEN(users.csv!A9) &gt; 1, "userRole","-")</f>
        <v>userRole</v>
      </c>
      <c r="B9" t="str">
        <f t="shared" si="0"/>
        <v>'2017-01-01</v>
      </c>
      <c r="C9" t="s">
        <v>13</v>
      </c>
      <c r="D9">
        <f>users.csv!I9</f>
        <v>8</v>
      </c>
      <c r="E9">
        <f>VLOOKUP(users.csv!J9,'roles.csv'!B:D,3,FALSE)</f>
        <v>5</v>
      </c>
      <c r="F9">
        <f t="shared" si="1"/>
        <v>8</v>
      </c>
    </row>
    <row r="10" spans="1:6" x14ac:dyDescent="0.3">
      <c r="A10" t="str">
        <f>IF(LEN(users.csv!A10) &gt; 1, "userRole","-")</f>
        <v>userRole</v>
      </c>
      <c r="B10" t="str">
        <f t="shared" si="0"/>
        <v>'2017-01-01</v>
      </c>
      <c r="C10" t="s">
        <v>13</v>
      </c>
      <c r="D10">
        <f>users.csv!I10</f>
        <v>9</v>
      </c>
      <c r="E10">
        <f>VLOOKUP(users.csv!J10,'roles.csv'!B:D,3,FALSE)</f>
        <v>5</v>
      </c>
      <c r="F10">
        <f t="shared" si="1"/>
        <v>9</v>
      </c>
    </row>
    <row r="11" spans="1:6" x14ac:dyDescent="0.3">
      <c r="A11" t="str">
        <f>IF(LEN(users.csv!A11) &gt; 1, "userRole","-")</f>
        <v>userRole</v>
      </c>
      <c r="B11" t="str">
        <f t="shared" si="0"/>
        <v>'2017-01-01</v>
      </c>
      <c r="C11" t="s">
        <v>13</v>
      </c>
      <c r="D11">
        <f>users.csv!I11</f>
        <v>10</v>
      </c>
      <c r="E11">
        <f>VLOOKUP(users.csv!J11,'roles.csv'!B:D,3,FALSE)</f>
        <v>5</v>
      </c>
      <c r="F11">
        <f t="shared" si="1"/>
        <v>10</v>
      </c>
    </row>
    <row r="12" spans="1:6" x14ac:dyDescent="0.3">
      <c r="A12" t="str">
        <f>IF(LEN(users.csv!A12) &gt; 1, "userRole","-")</f>
        <v>userRole</v>
      </c>
      <c r="B12" t="str">
        <f t="shared" si="0"/>
        <v>'2017-01-01</v>
      </c>
      <c r="C12" t="s">
        <v>13</v>
      </c>
      <c r="D12">
        <f>users.csv!I12</f>
        <v>11</v>
      </c>
      <c r="E12">
        <f>VLOOKUP(users.csv!J12,'roles.csv'!B:D,3,FALSE)</f>
        <v>5</v>
      </c>
      <c r="F12">
        <f t="shared" si="1"/>
        <v>11</v>
      </c>
    </row>
    <row r="13" spans="1:6" x14ac:dyDescent="0.3">
      <c r="A13" t="str">
        <f>IF(LEN(users.csv!A13) &gt; 1, "userRole","-")</f>
        <v>userRole</v>
      </c>
      <c r="B13" t="str">
        <f t="shared" si="0"/>
        <v>'2017-01-01</v>
      </c>
      <c r="C13" t="s">
        <v>13</v>
      </c>
      <c r="D13">
        <f>users.csv!I13</f>
        <v>12</v>
      </c>
      <c r="E13">
        <f>VLOOKUP(users.csv!J13,'roles.csv'!B:D,3,FALSE)</f>
        <v>5</v>
      </c>
      <c r="F13">
        <f t="shared" si="1"/>
        <v>12</v>
      </c>
    </row>
    <row r="14" spans="1:6" x14ac:dyDescent="0.3">
      <c r="A14" t="str">
        <f>IF(LEN(users.csv!A14) &gt; 1, "userRole","-")</f>
        <v>userRole</v>
      </c>
      <c r="B14" t="str">
        <f t="shared" si="0"/>
        <v>'2017-01-01</v>
      </c>
      <c r="C14" t="s">
        <v>13</v>
      </c>
      <c r="D14">
        <f>users.csv!I14</f>
        <v>13</v>
      </c>
      <c r="E14">
        <f>VLOOKUP(users.csv!J14,'roles.csv'!B:D,3,FALSE)</f>
        <v>5</v>
      </c>
      <c r="F14">
        <f t="shared" si="1"/>
        <v>13</v>
      </c>
    </row>
    <row r="15" spans="1:6" x14ac:dyDescent="0.3">
      <c r="A15" t="str">
        <f>IF(LEN(users.csv!A15) &gt; 1, "userRole","-")</f>
        <v>userRole</v>
      </c>
      <c r="B15" t="str">
        <f t="shared" si="0"/>
        <v>'2017-01-01</v>
      </c>
      <c r="C15" t="s">
        <v>13</v>
      </c>
      <c r="D15">
        <f>users.csv!I15</f>
        <v>14</v>
      </c>
      <c r="E15">
        <f>VLOOKUP(users.csv!J15,'roles.csv'!B:D,3,FALSE)</f>
        <v>5</v>
      </c>
      <c r="F15">
        <f t="shared" si="1"/>
        <v>14</v>
      </c>
    </row>
    <row r="16" spans="1:6" x14ac:dyDescent="0.3">
      <c r="A16" t="str">
        <f>IF(LEN(users.csv!A16) &gt; 1, "userRole","-")</f>
        <v>userRole</v>
      </c>
      <c r="B16" t="str">
        <f t="shared" si="0"/>
        <v>'2017-01-01</v>
      </c>
      <c r="C16" t="s">
        <v>13</v>
      </c>
      <c r="D16">
        <f>users.csv!I16</f>
        <v>15</v>
      </c>
      <c r="E16">
        <f>VLOOKUP(users.csv!J16,'roles.csv'!B:D,3,FALSE)</f>
        <v>5</v>
      </c>
      <c r="F16">
        <f t="shared" si="1"/>
        <v>15</v>
      </c>
    </row>
    <row r="17" spans="1:6" x14ac:dyDescent="0.3">
      <c r="A17" t="str">
        <f>IF(LEN(users.csv!A17) &gt; 1, "userRole","-")</f>
        <v>userRole</v>
      </c>
      <c r="B17" t="str">
        <f t="shared" si="0"/>
        <v>'2017-01-01</v>
      </c>
      <c r="C17" t="s">
        <v>13</v>
      </c>
      <c r="D17">
        <f>users.csv!I17</f>
        <v>16</v>
      </c>
      <c r="E17">
        <f>VLOOKUP(users.csv!J17,'roles.csv'!B:D,3,FALSE)</f>
        <v>5</v>
      </c>
      <c r="F17">
        <f t="shared" si="1"/>
        <v>16</v>
      </c>
    </row>
    <row r="18" spans="1:6" x14ac:dyDescent="0.3">
      <c r="A18" t="str">
        <f>IF(LEN(users.csv!A18) &gt; 1, "userRole","-")</f>
        <v>userRole</v>
      </c>
      <c r="B18" t="str">
        <f t="shared" si="0"/>
        <v>'2017-01-01</v>
      </c>
      <c r="C18" t="s">
        <v>13</v>
      </c>
      <c r="D18">
        <f>users.csv!I18</f>
        <v>17</v>
      </c>
      <c r="E18">
        <f>VLOOKUP(users.csv!J18,'roles.csv'!B:D,3,FALSE)</f>
        <v>5</v>
      </c>
      <c r="F18">
        <f t="shared" si="1"/>
        <v>17</v>
      </c>
    </row>
    <row r="19" spans="1:6" x14ac:dyDescent="0.3">
      <c r="A19" t="str">
        <f>IF(LEN(users.csv!A19) &gt; 1, "userRole","-")</f>
        <v>userRole</v>
      </c>
      <c r="B19" t="str">
        <f t="shared" si="0"/>
        <v>'2017-01-01</v>
      </c>
      <c r="C19" t="s">
        <v>13</v>
      </c>
      <c r="D19">
        <f>users.csv!I19</f>
        <v>18</v>
      </c>
      <c r="E19">
        <f>VLOOKUP(users.csv!J19,'roles.csv'!B:D,3,FALSE)</f>
        <v>5</v>
      </c>
      <c r="F19">
        <f t="shared" si="1"/>
        <v>18</v>
      </c>
    </row>
    <row r="20" spans="1:6" x14ac:dyDescent="0.3">
      <c r="A20" t="str">
        <f>IF(LEN(users.csv!A20) &gt; 1, "userRole","-")</f>
        <v>userRole</v>
      </c>
      <c r="B20" t="str">
        <f t="shared" si="0"/>
        <v>'2017-01-01</v>
      </c>
      <c r="C20" t="s">
        <v>13</v>
      </c>
      <c r="D20">
        <f>users.csv!I20</f>
        <v>19</v>
      </c>
      <c r="E20">
        <f>VLOOKUP(users.csv!J20,'roles.csv'!B:D,3,FALSE)</f>
        <v>5</v>
      </c>
      <c r="F20">
        <f t="shared" si="1"/>
        <v>19</v>
      </c>
    </row>
    <row r="21" spans="1:6" x14ac:dyDescent="0.3">
      <c r="A21" t="str">
        <f>IF(LEN(users.csv!A21) &gt; 1, "userRole","-")</f>
        <v>userRole</v>
      </c>
      <c r="B21" t="str">
        <f t="shared" si="0"/>
        <v>'2017-01-01</v>
      </c>
      <c r="C21" t="s">
        <v>13</v>
      </c>
      <c r="D21">
        <f>users.csv!I21</f>
        <v>20</v>
      </c>
      <c r="E21">
        <f>VLOOKUP(users.csv!J21,'roles.csv'!B:D,3,FALSE)</f>
        <v>5</v>
      </c>
      <c r="F21">
        <f t="shared" si="1"/>
        <v>20</v>
      </c>
    </row>
    <row r="22" spans="1:6" x14ac:dyDescent="0.3">
      <c r="A22" t="str">
        <f>IF(LEN(users.csv!A22) &gt; 1, "userRole","-")</f>
        <v>userRole</v>
      </c>
      <c r="B22" t="str">
        <f t="shared" si="0"/>
        <v>'2017-01-01</v>
      </c>
      <c r="C22" t="s">
        <v>13</v>
      </c>
      <c r="D22">
        <f>users.csv!I22</f>
        <v>21</v>
      </c>
      <c r="E22">
        <f>VLOOKUP(users.csv!J22,'roles.csv'!B:D,3,FALSE)</f>
        <v>5</v>
      </c>
      <c r="F22">
        <f t="shared" si="1"/>
        <v>21</v>
      </c>
    </row>
    <row r="23" spans="1:6" x14ac:dyDescent="0.3">
      <c r="A23" t="str">
        <f>IF(LEN(users.csv!A23) &gt; 1, "userRole","-")</f>
        <v>userRole</v>
      </c>
      <c r="B23" t="str">
        <f t="shared" si="0"/>
        <v>'2017-01-01</v>
      </c>
      <c r="C23" t="s">
        <v>13</v>
      </c>
      <c r="D23">
        <f>users.csv!I23</f>
        <v>22</v>
      </c>
      <c r="E23">
        <f>VLOOKUP(users.csv!J23,'roles.csv'!B:D,3,FALSE)</f>
        <v>5</v>
      </c>
      <c r="F23">
        <f t="shared" si="1"/>
        <v>22</v>
      </c>
    </row>
    <row r="24" spans="1:6" x14ac:dyDescent="0.3">
      <c r="A24" t="str">
        <f>IF(LEN(users.csv!A24) &gt; 1, "userRole","-")</f>
        <v>userRole</v>
      </c>
      <c r="B24" t="str">
        <f t="shared" si="0"/>
        <v>'2017-01-01</v>
      </c>
      <c r="C24" t="s">
        <v>13</v>
      </c>
      <c r="D24">
        <f>users.csv!I24</f>
        <v>23</v>
      </c>
      <c r="E24">
        <f>VLOOKUP(users.csv!J24,'roles.csv'!B:D,3,FALSE)</f>
        <v>5</v>
      </c>
      <c r="F24">
        <f t="shared" si="1"/>
        <v>23</v>
      </c>
    </row>
    <row r="25" spans="1:6" x14ac:dyDescent="0.3">
      <c r="A25" t="str">
        <f>IF(LEN(users.csv!A25) &gt; 1, "userRole","-")</f>
        <v>userRole</v>
      </c>
      <c r="B25" t="str">
        <f t="shared" si="0"/>
        <v>'2017-01-01</v>
      </c>
      <c r="C25" t="s">
        <v>13</v>
      </c>
      <c r="D25">
        <f>users.csv!I25</f>
        <v>24</v>
      </c>
      <c r="E25">
        <f>VLOOKUP(users.csv!J25,'roles.csv'!B:D,3,FALSE)</f>
        <v>5</v>
      </c>
      <c r="F25">
        <f t="shared" si="1"/>
        <v>24</v>
      </c>
    </row>
    <row r="26" spans="1:6" x14ac:dyDescent="0.3">
      <c r="A26" t="str">
        <f>IF(LEN(users.csv!A26) &gt; 1, "userRole","-")</f>
        <v>userRole</v>
      </c>
      <c r="B26" t="str">
        <f t="shared" si="0"/>
        <v>'2017-01-01</v>
      </c>
      <c r="C26" t="s">
        <v>13</v>
      </c>
      <c r="D26">
        <f>users.csv!I26</f>
        <v>25</v>
      </c>
      <c r="E26">
        <f>VLOOKUP(users.csv!J26,'roles.csv'!B:D,3,FALSE)</f>
        <v>4</v>
      </c>
      <c r="F26">
        <f t="shared" si="1"/>
        <v>25</v>
      </c>
    </row>
    <row r="27" spans="1:6" x14ac:dyDescent="0.3">
      <c r="A27" t="str">
        <f>IF(LEN(users.csv!A27) &gt; 1, "userRole","-")</f>
        <v>userRole</v>
      </c>
      <c r="B27" t="str">
        <f t="shared" si="0"/>
        <v>'2017-01-01</v>
      </c>
      <c r="C27" t="s">
        <v>13</v>
      </c>
      <c r="D27">
        <f>users.csv!I27</f>
        <v>26</v>
      </c>
      <c r="E27">
        <f>VLOOKUP(users.csv!J27,'roles.csv'!B:D,3,FALSE)</f>
        <v>4</v>
      </c>
      <c r="F27">
        <f t="shared" si="1"/>
        <v>26</v>
      </c>
    </row>
    <row r="28" spans="1:6" x14ac:dyDescent="0.3">
      <c r="A28" t="str">
        <f>IF(LEN(users.csv!A28) &gt; 1, "userRole","-")</f>
        <v>userRole</v>
      </c>
      <c r="B28" t="str">
        <f t="shared" si="0"/>
        <v>'2017-01-01</v>
      </c>
      <c r="C28" t="s">
        <v>13</v>
      </c>
      <c r="D28">
        <f>users.csv!I28</f>
        <v>27</v>
      </c>
      <c r="E28">
        <f>VLOOKUP(users.csv!J28,'roles.csv'!B:D,3,FALSE)</f>
        <v>4</v>
      </c>
      <c r="F28">
        <f t="shared" si="1"/>
        <v>27</v>
      </c>
    </row>
    <row r="29" spans="1:6" x14ac:dyDescent="0.3">
      <c r="A29" t="str">
        <f>IF(LEN(users.csv!A29) &gt; 1, "userRole","-")</f>
        <v>userRole</v>
      </c>
      <c r="B29" t="str">
        <f t="shared" si="0"/>
        <v>'2017-01-01</v>
      </c>
      <c r="C29" t="s">
        <v>13</v>
      </c>
      <c r="D29">
        <f>users.csv!I29</f>
        <v>28</v>
      </c>
      <c r="E29">
        <f>VLOOKUP(users.csv!J29,'roles.csv'!B:D,3,FALSE)</f>
        <v>4</v>
      </c>
      <c r="F29">
        <f t="shared" si="1"/>
        <v>28</v>
      </c>
    </row>
    <row r="30" spans="1:6" x14ac:dyDescent="0.3">
      <c r="A30" t="str">
        <f>IF(LEN(users.csv!A30) &gt; 1, "userRole","-")</f>
        <v>userRole</v>
      </c>
      <c r="B30" t="str">
        <f t="shared" si="0"/>
        <v>'2017-01-01</v>
      </c>
      <c r="C30" t="s">
        <v>13</v>
      </c>
      <c r="D30">
        <f>users.csv!I30</f>
        <v>29</v>
      </c>
      <c r="E30">
        <f>VLOOKUP(users.csv!J30,'roles.csv'!B:D,3,FALSE)</f>
        <v>4</v>
      </c>
      <c r="F30">
        <f t="shared" si="1"/>
        <v>29</v>
      </c>
    </row>
    <row r="31" spans="1:6" x14ac:dyDescent="0.3">
      <c r="A31" t="str">
        <f>IF(LEN(users.csv!A31) &gt; 1, "userRole","-")</f>
        <v>userRole</v>
      </c>
      <c r="B31" t="str">
        <f t="shared" si="0"/>
        <v>'2017-01-01</v>
      </c>
      <c r="C31" t="s">
        <v>13</v>
      </c>
      <c r="D31">
        <f>users.csv!I31</f>
        <v>30</v>
      </c>
      <c r="E31">
        <f>VLOOKUP(users.csv!J31,'roles.csv'!B:D,3,FALSE)</f>
        <v>4</v>
      </c>
      <c r="F31">
        <f t="shared" si="1"/>
        <v>30</v>
      </c>
    </row>
    <row r="32" spans="1:6" x14ac:dyDescent="0.3">
      <c r="A32" t="str">
        <f>IF(LEN(users.csv!A32) &gt; 1, "userRole","-")</f>
        <v>userRole</v>
      </c>
      <c r="B32" t="str">
        <f t="shared" si="0"/>
        <v>'2017-01-01</v>
      </c>
      <c r="C32" t="s">
        <v>13</v>
      </c>
      <c r="D32">
        <f>users.csv!I32</f>
        <v>31</v>
      </c>
      <c r="E32">
        <f>VLOOKUP(users.csv!J32,'roles.csv'!B:D,3,FALSE)</f>
        <v>5</v>
      </c>
      <c r="F32">
        <f t="shared" si="1"/>
        <v>31</v>
      </c>
    </row>
    <row r="33" spans="1:6" x14ac:dyDescent="0.3">
      <c r="A33" t="str">
        <f>IF(LEN(users.csv!A33) &gt; 1, "userRole","-")</f>
        <v>userRole</v>
      </c>
      <c r="B33" t="str">
        <f t="shared" si="0"/>
        <v>'2017-01-01</v>
      </c>
      <c r="C33" t="s">
        <v>13</v>
      </c>
      <c r="D33">
        <f>users.csv!I33</f>
        <v>32</v>
      </c>
      <c r="E33">
        <f>VLOOKUP(users.csv!J33,'roles.csv'!B:D,3,FALSE)</f>
        <v>4</v>
      </c>
      <c r="F33">
        <f t="shared" si="1"/>
        <v>32</v>
      </c>
    </row>
    <row r="34" spans="1:6" x14ac:dyDescent="0.3">
      <c r="A34" t="str">
        <f>IF(LEN(users.csv!A34) &gt; 1, "userRole","-")</f>
        <v>userRole</v>
      </c>
      <c r="B34" t="str">
        <f t="shared" si="0"/>
        <v>'2017-01-01</v>
      </c>
      <c r="C34" t="s">
        <v>13</v>
      </c>
      <c r="D34">
        <f>users.csv!I34</f>
        <v>33</v>
      </c>
      <c r="E34">
        <f>VLOOKUP(users.csv!J34,'roles.csv'!B:D,3,FALSE)</f>
        <v>4</v>
      </c>
      <c r="F34">
        <f t="shared" si="1"/>
        <v>33</v>
      </c>
    </row>
    <row r="35" spans="1:6" x14ac:dyDescent="0.3">
      <c r="A35" t="str">
        <f>IF(LEN(users.csv!A35) &gt; 1, "userRole","-")</f>
        <v>userRole</v>
      </c>
      <c r="B35" t="str">
        <f t="shared" si="0"/>
        <v>'2017-01-01</v>
      </c>
      <c r="C35" t="s">
        <v>13</v>
      </c>
      <c r="D35">
        <f>users.csv!I35</f>
        <v>34</v>
      </c>
      <c r="E35">
        <f>VLOOKUP(users.csv!J35,'roles.csv'!B:D,3,FALSE)</f>
        <v>4</v>
      </c>
      <c r="F35">
        <f t="shared" si="1"/>
        <v>34</v>
      </c>
    </row>
    <row r="36" spans="1:6" x14ac:dyDescent="0.3">
      <c r="A36" t="str">
        <f>IF(LEN(users.csv!A36) &gt; 1, "userRole","-")</f>
        <v>userRole</v>
      </c>
      <c r="B36" t="str">
        <f t="shared" si="0"/>
        <v>'2017-01-01</v>
      </c>
      <c r="C36" t="s">
        <v>13</v>
      </c>
      <c r="D36">
        <f>users.csv!I36</f>
        <v>35</v>
      </c>
      <c r="E36">
        <f>VLOOKUP(users.csv!J36,'roles.csv'!B:D,3,FALSE)</f>
        <v>1</v>
      </c>
      <c r="F36">
        <f t="shared" si="1"/>
        <v>35</v>
      </c>
    </row>
    <row r="37" spans="1:6" x14ac:dyDescent="0.3">
      <c r="A37" t="str">
        <f>IF(LEN(users.csv!A37) &gt; 1, "userRole","-")</f>
        <v>userRole</v>
      </c>
      <c r="B37" t="str">
        <f t="shared" si="0"/>
        <v>'2017-01-01</v>
      </c>
      <c r="C37" t="s">
        <v>13</v>
      </c>
      <c r="D37">
        <f>users.csv!I37</f>
        <v>36</v>
      </c>
      <c r="E37">
        <f>VLOOKUP(users.csv!J37,'roles.csv'!B:D,3,FALSE)</f>
        <v>1</v>
      </c>
      <c r="F37">
        <f t="shared" si="1"/>
        <v>36</v>
      </c>
    </row>
    <row r="38" spans="1:6" x14ac:dyDescent="0.3">
      <c r="A38" t="str">
        <f>IF(LEN(users.csv!A38) &gt; 1, "userRole","-")</f>
        <v>userRole</v>
      </c>
      <c r="B38" t="str">
        <f t="shared" si="0"/>
        <v>'2017-01-01</v>
      </c>
      <c r="C38" t="s">
        <v>13</v>
      </c>
      <c r="D38">
        <f>users.csv!I38</f>
        <v>37</v>
      </c>
      <c r="E38">
        <f>VLOOKUP(users.csv!J38,'roles.csv'!B:D,3,FALSE)</f>
        <v>1</v>
      </c>
      <c r="F38">
        <f t="shared" si="1"/>
        <v>37</v>
      </c>
    </row>
    <row r="39" spans="1:6" x14ac:dyDescent="0.3">
      <c r="A39" t="str">
        <f>IF(LEN(users.csv!A39) &gt; 1, "userRole","-")</f>
        <v>userRole</v>
      </c>
      <c r="B39" t="str">
        <f t="shared" si="0"/>
        <v>'2017-01-01</v>
      </c>
      <c r="C39" t="s">
        <v>13</v>
      </c>
      <c r="D39">
        <f>users.csv!I39</f>
        <v>38</v>
      </c>
      <c r="E39">
        <f>VLOOKUP(users.csv!J39,'roles.csv'!B:D,3,FALSE)</f>
        <v>1</v>
      </c>
      <c r="F39">
        <f t="shared" si="1"/>
        <v>38</v>
      </c>
    </row>
    <row r="40" spans="1:6" x14ac:dyDescent="0.3">
      <c r="A40" t="str">
        <f>IF(LEN(users.csv!A40) &gt; 1, "userRole","-")</f>
        <v>userRole</v>
      </c>
      <c r="B40" t="str">
        <f t="shared" si="0"/>
        <v>'2017-01-01</v>
      </c>
      <c r="C40" t="s">
        <v>13</v>
      </c>
      <c r="D40">
        <f>users.csv!I40</f>
        <v>39</v>
      </c>
      <c r="E40">
        <f>VLOOKUP(users.csv!J40,'roles.csv'!B:D,3,FALSE)</f>
        <v>1</v>
      </c>
      <c r="F40">
        <f t="shared" si="1"/>
        <v>39</v>
      </c>
    </row>
    <row r="41" spans="1:6" x14ac:dyDescent="0.3">
      <c r="A41" t="str">
        <f>IF(LEN(users.csv!A41) &gt; 1, "userRole","-")</f>
        <v>-</v>
      </c>
      <c r="B41" t="str">
        <f t="shared" si="0"/>
        <v>'2017-01-01</v>
      </c>
      <c r="C41" t="s">
        <v>13</v>
      </c>
      <c r="D41">
        <f>users.csv!I41</f>
        <v>0</v>
      </c>
      <c r="E41" t="e">
        <f>VLOOKUP(users.csv!J41,'roles.csv'!B:D,3,FALSE)</f>
        <v>#N/A</v>
      </c>
      <c r="F41">
        <f t="shared" si="1"/>
        <v>40</v>
      </c>
    </row>
    <row r="42" spans="1:6" x14ac:dyDescent="0.3">
      <c r="A42" t="str">
        <f>IF(LEN(users.csv!A42) &gt; 1, "userRole","-")</f>
        <v>-</v>
      </c>
      <c r="B42" t="str">
        <f t="shared" si="0"/>
        <v>'2017-01-01</v>
      </c>
      <c r="C42" t="s">
        <v>13</v>
      </c>
      <c r="D42">
        <f>users.csv!I42</f>
        <v>0</v>
      </c>
      <c r="E42" t="e">
        <f>VLOOKUP(users.csv!J42,'roles.csv'!B:D,3,FALSE)</f>
        <v>#N/A</v>
      </c>
      <c r="F42">
        <f t="shared" si="1"/>
        <v>41</v>
      </c>
    </row>
    <row r="43" spans="1:6" x14ac:dyDescent="0.3">
      <c r="A43" t="str">
        <f>IF(LEN(users.csv!A43) &gt; 1, "userRole","-")</f>
        <v>-</v>
      </c>
      <c r="B43" t="str">
        <f t="shared" si="0"/>
        <v>'2017-01-01</v>
      </c>
      <c r="C43" t="s">
        <v>13</v>
      </c>
      <c r="D43">
        <f>users.csv!I43</f>
        <v>0</v>
      </c>
      <c r="E43" t="e">
        <f>VLOOKUP(users.csv!J43,'roles.csv'!B:D,3,FALSE)</f>
        <v>#N/A</v>
      </c>
      <c r="F43">
        <f t="shared" si="1"/>
        <v>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2472</v>
      </c>
      <c r="C1" t="s">
        <v>2471</v>
      </c>
      <c r="D1" t="s">
        <v>2470</v>
      </c>
      <c r="E1" t="s">
        <v>2469</v>
      </c>
      <c r="F1" t="s">
        <v>2468</v>
      </c>
      <c r="G1" t="s">
        <v>2467</v>
      </c>
      <c r="H1" t="s">
        <v>2466</v>
      </c>
      <c r="I1" t="s">
        <v>2465</v>
      </c>
      <c r="J1" t="s">
        <v>2464</v>
      </c>
      <c r="K1" t="s">
        <v>2463</v>
      </c>
      <c r="L1" t="s">
        <v>2462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2472</v>
      </c>
      <c r="C1" t="s">
        <v>2479</v>
      </c>
      <c r="D1" t="s">
        <v>2478</v>
      </c>
      <c r="E1" t="s">
        <v>2471</v>
      </c>
      <c r="F1" t="s">
        <v>2477</v>
      </c>
      <c r="G1" t="s">
        <v>2467</v>
      </c>
      <c r="H1" t="s">
        <v>2476</v>
      </c>
      <c r="I1" t="s">
        <v>2475</v>
      </c>
      <c r="J1" t="s">
        <v>2474</v>
      </c>
      <c r="K1" t="s">
        <v>2473</v>
      </c>
      <c r="L1" t="s">
        <v>2462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J1" workbookViewId="0">
      <pane ySplit="1" topLeftCell="A17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Tables</vt:lpstr>
      <vt:lpstr>FuelSupplier.csv</vt:lpstr>
      <vt:lpstr>FuelSupplierCCData.csv</vt:lpstr>
      <vt:lpstr>FuelSupplierStatus.csv</vt:lpstr>
      <vt:lpstr>FuelSupplierType.csv</vt:lpstr>
      <vt:lpstr>FuelSupplierActionsType.csv</vt:lpstr>
      <vt:lpstr>FuelSupplierContactRole.csv</vt:lpstr>
      <vt:lpstr>FuelSupplierBalance</vt:lpstr>
      <vt:lpstr>NotificationType.csv</vt:lpstr>
      <vt:lpstr>OpportunityStatus.csv</vt:lpstr>
      <vt:lpstr>FuelSupplierContact.csv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</vt:lpstr>
      <vt:lpstr>CreditTradeHistory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2017-08-16T03:13:05Z</dcterms:modified>
</cp:coreProperties>
</file>