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tfrs\APISpec\in\"/>
    </mc:Choice>
  </mc:AlternateContent>
  <bookViews>
    <workbookView xWindow="0" yWindow="0" windowWidth="19440" windowHeight="9316"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paths.csv!$A$1:$G$15</definedName>
  </definedNames>
  <calcPr calcId="171027"/>
</workbook>
</file>

<file path=xl/calcChain.xml><?xml version="1.0" encoding="utf-8"?>
<calcChain xmlns="http://schemas.openxmlformats.org/spreadsheetml/2006/main">
  <c r="I39" i="27" l="1"/>
  <c r="J39" i="27"/>
  <c r="K39" i="27"/>
  <c r="L39" i="27"/>
  <c r="M39" i="27"/>
  <c r="N39" i="27"/>
  <c r="O39" i="27"/>
  <c r="P39" i="27"/>
  <c r="Q39" i="27"/>
  <c r="R39" i="27"/>
  <c r="S39" i="27"/>
  <c r="T39" i="27"/>
  <c r="U39" i="27"/>
  <c r="V39" i="27"/>
  <c r="W39" i="27"/>
  <c r="Y39" i="27"/>
  <c r="I108" i="27"/>
  <c r="J108" i="27"/>
  <c r="K108" i="27"/>
  <c r="L108" i="27"/>
  <c r="M108" i="27"/>
  <c r="N108" i="27"/>
  <c r="O108" i="27"/>
  <c r="P108" i="27"/>
  <c r="Q108" i="27"/>
  <c r="R108" i="27"/>
  <c r="S108" i="27"/>
  <c r="T108" i="27"/>
  <c r="U108" i="27"/>
  <c r="V108" i="27"/>
  <c r="W108" i="27"/>
  <c r="Y108" i="27"/>
  <c r="I16" i="27"/>
  <c r="J16" i="27"/>
  <c r="K16" i="27"/>
  <c r="L16" i="27"/>
  <c r="M16" i="27"/>
  <c r="N16" i="27"/>
  <c r="O16" i="27"/>
  <c r="P16" i="27"/>
  <c r="Q16" i="27"/>
  <c r="R16" i="27"/>
  <c r="S16" i="27"/>
  <c r="T16" i="27"/>
  <c r="U16" i="27"/>
  <c r="V16" i="27"/>
  <c r="W16" i="27"/>
  <c r="Y16" i="27"/>
  <c r="I33" i="27"/>
  <c r="I34" i="27"/>
  <c r="I35" i="27"/>
  <c r="I36" i="27"/>
  <c r="I37" i="27"/>
  <c r="I38" i="27"/>
  <c r="I40" i="27"/>
  <c r="I41" i="27"/>
  <c r="I42" i="27"/>
  <c r="J33" i="27"/>
  <c r="J34" i="27"/>
  <c r="J35" i="27"/>
  <c r="J36" i="27"/>
  <c r="J37" i="27"/>
  <c r="J38" i="27"/>
  <c r="J40" i="27"/>
  <c r="J41" i="27"/>
  <c r="J42" i="27"/>
  <c r="K33" i="27"/>
  <c r="K34" i="27"/>
  <c r="K35" i="27"/>
  <c r="K36" i="27"/>
  <c r="K37" i="27"/>
  <c r="K38" i="27"/>
  <c r="K40" i="27"/>
  <c r="K41" i="27"/>
  <c r="K42" i="27"/>
  <c r="L33" i="27"/>
  <c r="L34" i="27"/>
  <c r="L35" i="27"/>
  <c r="L36" i="27"/>
  <c r="L37" i="27"/>
  <c r="L38" i="27"/>
  <c r="L40" i="27"/>
  <c r="L41" i="27"/>
  <c r="L42" i="27"/>
  <c r="M33" i="27"/>
  <c r="M34" i="27"/>
  <c r="M35" i="27"/>
  <c r="M36" i="27"/>
  <c r="M37" i="27"/>
  <c r="M38" i="27"/>
  <c r="M40" i="27"/>
  <c r="M41" i="27"/>
  <c r="M42" i="27"/>
  <c r="N33" i="27"/>
  <c r="N34" i="27"/>
  <c r="N35" i="27"/>
  <c r="N36" i="27"/>
  <c r="N37" i="27"/>
  <c r="N38" i="27"/>
  <c r="N40" i="27"/>
  <c r="N41" i="27"/>
  <c r="N42" i="27"/>
  <c r="O33" i="27"/>
  <c r="O34" i="27"/>
  <c r="O35" i="27"/>
  <c r="O36" i="27"/>
  <c r="O37" i="27"/>
  <c r="O38" i="27"/>
  <c r="O40" i="27"/>
  <c r="O41" i="27"/>
  <c r="O42" i="27"/>
  <c r="P33" i="27"/>
  <c r="P34" i="27"/>
  <c r="P35" i="27"/>
  <c r="P36" i="27"/>
  <c r="P37" i="27"/>
  <c r="P38" i="27"/>
  <c r="P40" i="27"/>
  <c r="P41" i="27"/>
  <c r="P42" i="27"/>
  <c r="Q33" i="27"/>
  <c r="Q34" i="27"/>
  <c r="Q35" i="27"/>
  <c r="Q36" i="27"/>
  <c r="Q37" i="27"/>
  <c r="Q38" i="27"/>
  <c r="Q40" i="27"/>
  <c r="Q41" i="27"/>
  <c r="Q42" i="27"/>
  <c r="R33" i="27"/>
  <c r="R34" i="27"/>
  <c r="R35" i="27"/>
  <c r="R36" i="27"/>
  <c r="R37" i="27"/>
  <c r="R38" i="27"/>
  <c r="R40" i="27"/>
  <c r="R41" i="27"/>
  <c r="R42" i="27"/>
  <c r="S33" i="27"/>
  <c r="S34" i="27"/>
  <c r="S35" i="27"/>
  <c r="S36" i="27"/>
  <c r="S37" i="27"/>
  <c r="S38" i="27"/>
  <c r="S40" i="27"/>
  <c r="S41" i="27"/>
  <c r="S42" i="27"/>
  <c r="T33" i="27"/>
  <c r="T34" i="27"/>
  <c r="T35" i="27"/>
  <c r="T36" i="27"/>
  <c r="T37" i="27"/>
  <c r="T38" i="27"/>
  <c r="T40" i="27"/>
  <c r="T41" i="27"/>
  <c r="T42" i="27"/>
  <c r="U33" i="27"/>
  <c r="U34" i="27"/>
  <c r="U35" i="27"/>
  <c r="U36" i="27"/>
  <c r="U37" i="27"/>
  <c r="U38" i="27"/>
  <c r="U40" i="27"/>
  <c r="U41" i="27"/>
  <c r="U42" i="27"/>
  <c r="V33" i="27"/>
  <c r="V34" i="27"/>
  <c r="V35" i="27"/>
  <c r="V36" i="27"/>
  <c r="V37" i="27"/>
  <c r="V38" i="27"/>
  <c r="V40" i="27"/>
  <c r="V41" i="27"/>
  <c r="V42" i="27"/>
  <c r="W33" i="27"/>
  <c r="W34" i="27"/>
  <c r="W35" i="27"/>
  <c r="W36" i="27"/>
  <c r="W37" i="27"/>
  <c r="W38" i="27"/>
  <c r="W40" i="27"/>
  <c r="W41" i="27"/>
  <c r="W42" i="27"/>
  <c r="Y33" i="27"/>
  <c r="Y34" i="27"/>
  <c r="Y35" i="27"/>
  <c r="Y36" i="27"/>
  <c r="Y37" i="27"/>
  <c r="Y38" i="27"/>
  <c r="Y40" i="27"/>
  <c r="Y41" i="27"/>
  <c r="Y42" i="27"/>
  <c r="Y52" i="27"/>
  <c r="W52" i="27"/>
  <c r="V52" i="27"/>
  <c r="U52" i="27"/>
  <c r="T52" i="27"/>
  <c r="S52" i="27"/>
  <c r="R52" i="27"/>
  <c r="Q52" i="27"/>
  <c r="P52" i="27"/>
  <c r="O52" i="27"/>
  <c r="N52" i="27"/>
  <c r="M52" i="27"/>
  <c r="L52" i="27"/>
  <c r="K52" i="27"/>
  <c r="J52" i="27"/>
  <c r="I52" i="27"/>
  <c r="Y51" i="27"/>
  <c r="W51" i="27"/>
  <c r="V51" i="27"/>
  <c r="U51" i="27"/>
  <c r="T51" i="27"/>
  <c r="S51" i="27"/>
  <c r="R51" i="27"/>
  <c r="Q51" i="27"/>
  <c r="P51" i="27"/>
  <c r="O51" i="27"/>
  <c r="N51" i="27"/>
  <c r="M51" i="27"/>
  <c r="L51" i="27"/>
  <c r="K51" i="27"/>
  <c r="J51" i="27"/>
  <c r="I51" i="27"/>
  <c r="Y50" i="27"/>
  <c r="W50" i="27"/>
  <c r="V50" i="27"/>
  <c r="U50" i="27"/>
  <c r="T50" i="27"/>
  <c r="S50" i="27"/>
  <c r="R50" i="27"/>
  <c r="Q50" i="27"/>
  <c r="P50" i="27"/>
  <c r="O50" i="27"/>
  <c r="N50" i="27"/>
  <c r="M50" i="27"/>
  <c r="L50" i="27"/>
  <c r="K50" i="27"/>
  <c r="J50" i="27"/>
  <c r="I50" i="27"/>
  <c r="Y49" i="27"/>
  <c r="W49" i="27"/>
  <c r="V49" i="27"/>
  <c r="U49" i="27"/>
  <c r="T49" i="27"/>
  <c r="S49" i="27"/>
  <c r="R49" i="27"/>
  <c r="Q49" i="27"/>
  <c r="P49" i="27"/>
  <c r="O49" i="27"/>
  <c r="N49" i="27"/>
  <c r="M49" i="27"/>
  <c r="L49" i="27"/>
  <c r="K49" i="27"/>
  <c r="J49" i="27"/>
  <c r="I49" i="27"/>
  <c r="Y48" i="27"/>
  <c r="W48" i="27"/>
  <c r="V48" i="27"/>
  <c r="U48" i="27"/>
  <c r="T48" i="27"/>
  <c r="S48" i="27"/>
  <c r="R48" i="27"/>
  <c r="Q48" i="27"/>
  <c r="P48" i="27"/>
  <c r="O48" i="27"/>
  <c r="N48" i="27"/>
  <c r="M48" i="27"/>
  <c r="L48" i="27"/>
  <c r="K48" i="27"/>
  <c r="J48" i="27"/>
  <c r="I48" i="27"/>
  <c r="Y47" i="27"/>
  <c r="W47" i="27"/>
  <c r="V47" i="27"/>
  <c r="U47" i="27"/>
  <c r="T47" i="27"/>
  <c r="S47" i="27"/>
  <c r="R47" i="27"/>
  <c r="Q47" i="27"/>
  <c r="P47" i="27"/>
  <c r="O47" i="27"/>
  <c r="N47" i="27"/>
  <c r="M47" i="27"/>
  <c r="L47" i="27"/>
  <c r="K47" i="27"/>
  <c r="J47" i="27"/>
  <c r="I47"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X39" i="27"/>
  <c r="X108" i="27"/>
  <c r="X16" i="27"/>
  <c r="X34" i="27"/>
  <c r="X38" i="27"/>
  <c r="X42" i="27"/>
  <c r="X35" i="27"/>
  <c r="X40" i="27"/>
  <c r="X33" i="27"/>
  <c r="X36" i="27"/>
  <c r="X41" i="27"/>
  <c r="X37" i="27"/>
  <c r="X49" i="27"/>
  <c r="X45" i="27"/>
  <c r="X52" i="27"/>
  <c r="X48" i="27"/>
  <c r="X44" i="27"/>
  <c r="X51" i="27"/>
  <c r="X47" i="27"/>
  <c r="X43" i="27"/>
  <c r="X50" i="27"/>
  <c r="X46" i="27"/>
  <c r="I124" i="27" l="1"/>
  <c r="J124" i="27"/>
  <c r="K124" i="27"/>
  <c r="L124" i="27"/>
  <c r="M124" i="27"/>
  <c r="N124" i="27"/>
  <c r="O124" i="27"/>
  <c r="P124" i="27"/>
  <c r="Q124" i="27"/>
  <c r="R124" i="27"/>
  <c r="S124" i="27"/>
  <c r="T124" i="27"/>
  <c r="U124" i="27"/>
  <c r="V124" i="27"/>
  <c r="W124" i="27"/>
  <c r="Y124" i="27"/>
  <c r="X124" i="27"/>
  <c r="H5" i="30" l="1"/>
  <c r="I5" i="30"/>
  <c r="J5" i="30"/>
  <c r="K5" i="30"/>
  <c r="L5" i="30"/>
  <c r="M5" i="30"/>
  <c r="N5" i="30"/>
  <c r="O5" i="30"/>
  <c r="P5" i="30"/>
  <c r="Q5" i="30"/>
  <c r="R5" i="30"/>
  <c r="S5" i="30"/>
  <c r="T5" i="30"/>
  <c r="U5" i="30"/>
  <c r="V5" i="30"/>
  <c r="Y2" i="27"/>
  <c r="Y3" i="27"/>
  <c r="Y4" i="27"/>
  <c r="Y5" i="27"/>
  <c r="Y6" i="27"/>
  <c r="Y7" i="27"/>
  <c r="Y8" i="27"/>
  <c r="Y9" i="27"/>
  <c r="Y10" i="27"/>
  <c r="Y11" i="27"/>
  <c r="Y12" i="27"/>
  <c r="Y13" i="27"/>
  <c r="Y14" i="27"/>
  <c r="Y15" i="27"/>
  <c r="Y17" i="27"/>
  <c r="Y18" i="27"/>
  <c r="Y19" i="27"/>
  <c r="Y20" i="27"/>
  <c r="Y21" i="27"/>
  <c r="Y22" i="27"/>
  <c r="Y23" i="27"/>
  <c r="Y24" i="27"/>
  <c r="Y25" i="27"/>
  <c r="Y26" i="27"/>
  <c r="Y27" i="27"/>
  <c r="Y28" i="27"/>
  <c r="Y29" i="27"/>
  <c r="Y30" i="27"/>
  <c r="Y31" i="27"/>
  <c r="Y3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9" i="27"/>
  <c r="Y110" i="27"/>
  <c r="Y111" i="27"/>
  <c r="Y112" i="27"/>
  <c r="Y113" i="27"/>
  <c r="Y114" i="27"/>
  <c r="Y115" i="27"/>
  <c r="Y116" i="27"/>
  <c r="Y117" i="27"/>
  <c r="Y118" i="27"/>
  <c r="Y119" i="27"/>
  <c r="Y120" i="27"/>
  <c r="Y121" i="27"/>
  <c r="Y122" i="27"/>
  <c r="Y123"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W2" i="27"/>
  <c r="W3" i="27"/>
  <c r="W4" i="27"/>
  <c r="W5" i="27"/>
  <c r="W6" i="27"/>
  <c r="W7" i="27"/>
  <c r="W8" i="27"/>
  <c r="W9" i="27"/>
  <c r="W10" i="27"/>
  <c r="W11" i="27"/>
  <c r="W12" i="27"/>
  <c r="W13" i="27"/>
  <c r="W14" i="27"/>
  <c r="W15" i="27"/>
  <c r="W17" i="27"/>
  <c r="W18" i="27"/>
  <c r="W19" i="27"/>
  <c r="W20" i="27"/>
  <c r="W21" i="27"/>
  <c r="W22" i="27"/>
  <c r="W23" i="27"/>
  <c r="W24" i="27"/>
  <c r="W25" i="27"/>
  <c r="W26" i="27"/>
  <c r="W27" i="27"/>
  <c r="W28" i="27"/>
  <c r="W29" i="27"/>
  <c r="W30" i="27"/>
  <c r="W31" i="27"/>
  <c r="W3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9" i="27"/>
  <c r="W110" i="27"/>
  <c r="W111" i="27"/>
  <c r="W112" i="27"/>
  <c r="W113" i="27"/>
  <c r="W114" i="27"/>
  <c r="W115" i="27"/>
  <c r="W116" i="27"/>
  <c r="W117" i="27"/>
  <c r="W118" i="27"/>
  <c r="W119" i="27"/>
  <c r="W120" i="27"/>
  <c r="W121" i="27"/>
  <c r="W122" i="27"/>
  <c r="W123"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V2" i="27"/>
  <c r="V3" i="27"/>
  <c r="V4" i="27"/>
  <c r="V5" i="27"/>
  <c r="V6" i="27"/>
  <c r="V7" i="27"/>
  <c r="V8" i="27"/>
  <c r="V9" i="27"/>
  <c r="V10" i="27"/>
  <c r="V11" i="27"/>
  <c r="V12" i="27"/>
  <c r="V13" i="27"/>
  <c r="V14" i="27"/>
  <c r="V15" i="27"/>
  <c r="V17" i="27"/>
  <c r="V18" i="27"/>
  <c r="V19" i="27"/>
  <c r="V20" i="27"/>
  <c r="V21" i="27"/>
  <c r="V22" i="27"/>
  <c r="V23" i="27"/>
  <c r="V24" i="27"/>
  <c r="V25" i="27"/>
  <c r="V26" i="27"/>
  <c r="V27" i="27"/>
  <c r="V28" i="27"/>
  <c r="V29" i="27"/>
  <c r="V30" i="27"/>
  <c r="V31" i="27"/>
  <c r="V3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7" i="27"/>
  <c r="V109" i="27"/>
  <c r="V110" i="27"/>
  <c r="V111" i="27"/>
  <c r="V112" i="27"/>
  <c r="V113" i="27"/>
  <c r="V114" i="27"/>
  <c r="V115" i="27"/>
  <c r="V116" i="27"/>
  <c r="V117" i="27"/>
  <c r="V118" i="27"/>
  <c r="V119" i="27"/>
  <c r="V120" i="27"/>
  <c r="V121" i="27"/>
  <c r="V122" i="27"/>
  <c r="V123"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U2" i="27"/>
  <c r="U3" i="27"/>
  <c r="U4" i="27"/>
  <c r="U5" i="27"/>
  <c r="U6" i="27"/>
  <c r="U7" i="27"/>
  <c r="U8" i="27"/>
  <c r="U9" i="27"/>
  <c r="U10" i="27"/>
  <c r="U11" i="27"/>
  <c r="U12" i="27"/>
  <c r="U13" i="27"/>
  <c r="U14" i="27"/>
  <c r="U15" i="27"/>
  <c r="U17" i="27"/>
  <c r="U18" i="27"/>
  <c r="U19" i="27"/>
  <c r="U20" i="27"/>
  <c r="U21" i="27"/>
  <c r="U22" i="27"/>
  <c r="U23" i="27"/>
  <c r="U24" i="27"/>
  <c r="U25" i="27"/>
  <c r="U26" i="27"/>
  <c r="U27" i="27"/>
  <c r="U28" i="27"/>
  <c r="U29" i="27"/>
  <c r="U30" i="27"/>
  <c r="U31" i="27"/>
  <c r="U3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9" i="27"/>
  <c r="U110" i="27"/>
  <c r="U111" i="27"/>
  <c r="U112" i="27"/>
  <c r="U113" i="27"/>
  <c r="U114" i="27"/>
  <c r="U115" i="27"/>
  <c r="U116" i="27"/>
  <c r="U117" i="27"/>
  <c r="U118" i="27"/>
  <c r="U119" i="27"/>
  <c r="U120" i="27"/>
  <c r="U121" i="27"/>
  <c r="U122" i="27"/>
  <c r="U123"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T2" i="27"/>
  <c r="T3" i="27"/>
  <c r="T4" i="27"/>
  <c r="T5" i="27"/>
  <c r="T6" i="27"/>
  <c r="T7" i="27"/>
  <c r="T8" i="27"/>
  <c r="T9" i="27"/>
  <c r="T10" i="27"/>
  <c r="T11" i="27"/>
  <c r="T12" i="27"/>
  <c r="T13" i="27"/>
  <c r="T14" i="27"/>
  <c r="T15" i="27"/>
  <c r="T17" i="27"/>
  <c r="T18" i="27"/>
  <c r="T19" i="27"/>
  <c r="T20" i="27"/>
  <c r="T21" i="27"/>
  <c r="T22" i="27"/>
  <c r="T23" i="27"/>
  <c r="T24" i="27"/>
  <c r="T25" i="27"/>
  <c r="T26" i="27"/>
  <c r="T27" i="27"/>
  <c r="T28" i="27"/>
  <c r="T29" i="27"/>
  <c r="T30" i="27"/>
  <c r="T31" i="27"/>
  <c r="T3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9" i="27"/>
  <c r="T110" i="27"/>
  <c r="T111" i="27"/>
  <c r="T112" i="27"/>
  <c r="T113" i="27"/>
  <c r="T114" i="27"/>
  <c r="T115" i="27"/>
  <c r="T116" i="27"/>
  <c r="T117" i="27"/>
  <c r="T118" i="27"/>
  <c r="T119" i="27"/>
  <c r="T120" i="27"/>
  <c r="T121" i="27"/>
  <c r="T122" i="27"/>
  <c r="T123"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S2" i="27"/>
  <c r="S3" i="27"/>
  <c r="S4" i="27"/>
  <c r="S5" i="27"/>
  <c r="S6" i="27"/>
  <c r="S7" i="27"/>
  <c r="S8" i="27"/>
  <c r="S9" i="27"/>
  <c r="S10" i="27"/>
  <c r="S11" i="27"/>
  <c r="S12" i="27"/>
  <c r="S13" i="27"/>
  <c r="S14" i="27"/>
  <c r="S15" i="27"/>
  <c r="S17" i="27"/>
  <c r="S18" i="27"/>
  <c r="S19" i="27"/>
  <c r="S20" i="27"/>
  <c r="S21" i="27"/>
  <c r="S22" i="27"/>
  <c r="S23" i="27"/>
  <c r="S24" i="27"/>
  <c r="S25" i="27"/>
  <c r="S26" i="27"/>
  <c r="S27" i="27"/>
  <c r="S28" i="27"/>
  <c r="S29" i="27"/>
  <c r="S30" i="27"/>
  <c r="S31" i="27"/>
  <c r="S3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9" i="27"/>
  <c r="S110" i="27"/>
  <c r="S111" i="27"/>
  <c r="S112" i="27"/>
  <c r="S113" i="27"/>
  <c r="S114" i="27"/>
  <c r="S115" i="27"/>
  <c r="S116" i="27"/>
  <c r="S117" i="27"/>
  <c r="S118" i="27"/>
  <c r="S119" i="27"/>
  <c r="S120" i="27"/>
  <c r="S121" i="27"/>
  <c r="S122" i="27"/>
  <c r="S123"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R2" i="27"/>
  <c r="R3" i="27"/>
  <c r="R4" i="27"/>
  <c r="R5" i="27"/>
  <c r="R6" i="27"/>
  <c r="R7" i="27"/>
  <c r="R8" i="27"/>
  <c r="R9" i="27"/>
  <c r="R10" i="27"/>
  <c r="R11" i="27"/>
  <c r="R12" i="27"/>
  <c r="R13" i="27"/>
  <c r="R14" i="27"/>
  <c r="R15" i="27"/>
  <c r="R17" i="27"/>
  <c r="R18" i="27"/>
  <c r="R19" i="27"/>
  <c r="R20" i="27"/>
  <c r="R21" i="27"/>
  <c r="R22" i="27"/>
  <c r="R23" i="27"/>
  <c r="R24" i="27"/>
  <c r="R25" i="27"/>
  <c r="R26" i="27"/>
  <c r="R27" i="27"/>
  <c r="R28" i="27"/>
  <c r="R29" i="27"/>
  <c r="R30" i="27"/>
  <c r="R31" i="27"/>
  <c r="R3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9" i="27"/>
  <c r="R110" i="27"/>
  <c r="R111" i="27"/>
  <c r="R112" i="27"/>
  <c r="R113" i="27"/>
  <c r="R114" i="27"/>
  <c r="R115" i="27"/>
  <c r="R116" i="27"/>
  <c r="R117" i="27"/>
  <c r="R118" i="27"/>
  <c r="R119" i="27"/>
  <c r="R120" i="27"/>
  <c r="R121" i="27"/>
  <c r="R122" i="27"/>
  <c r="R123"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Q2" i="27"/>
  <c r="Q3" i="27"/>
  <c r="Q4" i="27"/>
  <c r="Q5" i="27"/>
  <c r="Q6" i="27"/>
  <c r="Q7" i="27"/>
  <c r="Q8" i="27"/>
  <c r="Q9" i="27"/>
  <c r="Q10" i="27"/>
  <c r="Q11" i="27"/>
  <c r="Q12" i="27"/>
  <c r="Q13" i="27"/>
  <c r="Q14" i="27"/>
  <c r="Q15" i="27"/>
  <c r="Q17" i="27"/>
  <c r="Q18" i="27"/>
  <c r="Q19" i="27"/>
  <c r="Q20" i="27"/>
  <c r="Q21" i="27"/>
  <c r="Q22" i="27"/>
  <c r="Q23" i="27"/>
  <c r="Q24" i="27"/>
  <c r="Q25" i="27"/>
  <c r="Q26" i="27"/>
  <c r="Q27" i="27"/>
  <c r="Q28" i="27"/>
  <c r="Q29" i="27"/>
  <c r="Q30" i="27"/>
  <c r="Q31" i="27"/>
  <c r="Q3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9" i="27"/>
  <c r="Q110" i="27"/>
  <c r="Q111" i="27"/>
  <c r="Q112" i="27"/>
  <c r="Q113" i="27"/>
  <c r="Q114" i="27"/>
  <c r="Q115" i="27"/>
  <c r="Q116" i="27"/>
  <c r="Q117" i="27"/>
  <c r="Q118" i="27"/>
  <c r="Q119" i="27"/>
  <c r="Q120" i="27"/>
  <c r="Q121" i="27"/>
  <c r="Q122" i="27"/>
  <c r="Q123"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P2" i="27"/>
  <c r="P3" i="27"/>
  <c r="P4" i="27"/>
  <c r="P5" i="27"/>
  <c r="P6" i="27"/>
  <c r="P7" i="27"/>
  <c r="P8" i="27"/>
  <c r="P9" i="27"/>
  <c r="P10" i="27"/>
  <c r="P11" i="27"/>
  <c r="P12" i="27"/>
  <c r="P13" i="27"/>
  <c r="P14" i="27"/>
  <c r="P15" i="27"/>
  <c r="P17" i="27"/>
  <c r="P18" i="27"/>
  <c r="P19" i="27"/>
  <c r="P20" i="27"/>
  <c r="P21" i="27"/>
  <c r="P22" i="27"/>
  <c r="P23" i="27"/>
  <c r="P24" i="27"/>
  <c r="P25" i="27"/>
  <c r="P26" i="27"/>
  <c r="P27" i="27"/>
  <c r="P28" i="27"/>
  <c r="P29" i="27"/>
  <c r="P30" i="27"/>
  <c r="P31" i="27"/>
  <c r="P3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9" i="27"/>
  <c r="P110" i="27"/>
  <c r="P111" i="27"/>
  <c r="P112" i="27"/>
  <c r="P113" i="27"/>
  <c r="P114" i="27"/>
  <c r="P115" i="27"/>
  <c r="P116" i="27"/>
  <c r="P117" i="27"/>
  <c r="P118" i="27"/>
  <c r="P119" i="27"/>
  <c r="P120" i="27"/>
  <c r="P121" i="27"/>
  <c r="P122" i="27"/>
  <c r="P123"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O2" i="27"/>
  <c r="O3" i="27"/>
  <c r="O4" i="27"/>
  <c r="O5" i="27"/>
  <c r="O6" i="27"/>
  <c r="O7" i="27"/>
  <c r="O8" i="27"/>
  <c r="O9" i="27"/>
  <c r="O10" i="27"/>
  <c r="O11" i="27"/>
  <c r="O12" i="27"/>
  <c r="O13" i="27"/>
  <c r="O14" i="27"/>
  <c r="O15" i="27"/>
  <c r="O17" i="27"/>
  <c r="O18" i="27"/>
  <c r="O19" i="27"/>
  <c r="O20" i="27"/>
  <c r="O21" i="27"/>
  <c r="O22" i="27"/>
  <c r="O23" i="27"/>
  <c r="O24" i="27"/>
  <c r="O25" i="27"/>
  <c r="O26" i="27"/>
  <c r="O27" i="27"/>
  <c r="O28" i="27"/>
  <c r="O29" i="27"/>
  <c r="O30" i="27"/>
  <c r="O31" i="27"/>
  <c r="O3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9" i="27"/>
  <c r="O110" i="27"/>
  <c r="O111" i="27"/>
  <c r="O112" i="27"/>
  <c r="O113" i="27"/>
  <c r="O114" i="27"/>
  <c r="O115" i="27"/>
  <c r="O116" i="27"/>
  <c r="O117" i="27"/>
  <c r="O118" i="27"/>
  <c r="O119" i="27"/>
  <c r="O120" i="27"/>
  <c r="O121" i="27"/>
  <c r="O122" i="27"/>
  <c r="O123"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N2" i="27"/>
  <c r="N3" i="27"/>
  <c r="N4" i="27"/>
  <c r="N5" i="27"/>
  <c r="N6" i="27"/>
  <c r="N7" i="27"/>
  <c r="N8" i="27"/>
  <c r="N9" i="27"/>
  <c r="N10" i="27"/>
  <c r="N11" i="27"/>
  <c r="N12" i="27"/>
  <c r="N13" i="27"/>
  <c r="N14" i="27"/>
  <c r="N15" i="27"/>
  <c r="N17" i="27"/>
  <c r="N18" i="27"/>
  <c r="N19" i="27"/>
  <c r="N20" i="27"/>
  <c r="N21" i="27"/>
  <c r="N22" i="27"/>
  <c r="N23" i="27"/>
  <c r="N24" i="27"/>
  <c r="N25" i="27"/>
  <c r="N26" i="27"/>
  <c r="N27" i="27"/>
  <c r="N28" i="27"/>
  <c r="N29" i="27"/>
  <c r="N30" i="27"/>
  <c r="N31" i="27"/>
  <c r="N3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9" i="27"/>
  <c r="N110" i="27"/>
  <c r="N111" i="27"/>
  <c r="N112" i="27"/>
  <c r="N113" i="27"/>
  <c r="N114" i="27"/>
  <c r="N115" i="27"/>
  <c r="N116" i="27"/>
  <c r="N117" i="27"/>
  <c r="N118" i="27"/>
  <c r="N119" i="27"/>
  <c r="N120" i="27"/>
  <c r="N121" i="27"/>
  <c r="N122" i="27"/>
  <c r="N123"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M2" i="27"/>
  <c r="M3" i="27"/>
  <c r="M4" i="27"/>
  <c r="M5" i="27"/>
  <c r="M6" i="27"/>
  <c r="M7" i="27"/>
  <c r="M8" i="27"/>
  <c r="M9" i="27"/>
  <c r="M10" i="27"/>
  <c r="M11" i="27"/>
  <c r="M12" i="27"/>
  <c r="M13" i="27"/>
  <c r="M14" i="27"/>
  <c r="M15" i="27"/>
  <c r="M17" i="27"/>
  <c r="M18" i="27"/>
  <c r="M19" i="27"/>
  <c r="M20" i="27"/>
  <c r="M21" i="27"/>
  <c r="M22" i="27"/>
  <c r="M23" i="27"/>
  <c r="M24" i="27"/>
  <c r="M25" i="27"/>
  <c r="M26" i="27"/>
  <c r="M27" i="27"/>
  <c r="M28" i="27"/>
  <c r="M29" i="27"/>
  <c r="M30" i="27"/>
  <c r="M31" i="27"/>
  <c r="M3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9" i="27"/>
  <c r="M110" i="27"/>
  <c r="M111" i="27"/>
  <c r="M112" i="27"/>
  <c r="M113" i="27"/>
  <c r="M114" i="27"/>
  <c r="M115" i="27"/>
  <c r="M116" i="27"/>
  <c r="M117" i="27"/>
  <c r="M118" i="27"/>
  <c r="M119" i="27"/>
  <c r="M120" i="27"/>
  <c r="M121" i="27"/>
  <c r="M122" i="27"/>
  <c r="M123"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L2" i="27"/>
  <c r="L3" i="27"/>
  <c r="L4" i="27"/>
  <c r="L5" i="27"/>
  <c r="L6" i="27"/>
  <c r="L7" i="27"/>
  <c r="L8" i="27"/>
  <c r="L9" i="27"/>
  <c r="L10" i="27"/>
  <c r="L11" i="27"/>
  <c r="L12" i="27"/>
  <c r="L13" i="27"/>
  <c r="L14" i="27"/>
  <c r="L15" i="27"/>
  <c r="L17" i="27"/>
  <c r="L18" i="27"/>
  <c r="L19" i="27"/>
  <c r="L20" i="27"/>
  <c r="L21" i="27"/>
  <c r="L22" i="27"/>
  <c r="L23" i="27"/>
  <c r="L24" i="27"/>
  <c r="L25" i="27"/>
  <c r="L26" i="27"/>
  <c r="L27" i="27"/>
  <c r="L28" i="27"/>
  <c r="L29" i="27"/>
  <c r="L30" i="27"/>
  <c r="L31" i="27"/>
  <c r="L3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9" i="27"/>
  <c r="L110" i="27"/>
  <c r="L111" i="27"/>
  <c r="L112" i="27"/>
  <c r="L113" i="27"/>
  <c r="L114" i="27"/>
  <c r="L115" i="27"/>
  <c r="L116" i="27"/>
  <c r="L117" i="27"/>
  <c r="L118" i="27"/>
  <c r="L119" i="27"/>
  <c r="L120" i="27"/>
  <c r="L121" i="27"/>
  <c r="L122" i="27"/>
  <c r="L123"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K2" i="27"/>
  <c r="K3" i="27"/>
  <c r="K4" i="27"/>
  <c r="K5" i="27"/>
  <c r="K6" i="27"/>
  <c r="K7" i="27"/>
  <c r="K8" i="27"/>
  <c r="K9" i="27"/>
  <c r="K10" i="27"/>
  <c r="K11" i="27"/>
  <c r="K12" i="27"/>
  <c r="K13" i="27"/>
  <c r="K14" i="27"/>
  <c r="K15" i="27"/>
  <c r="K17" i="27"/>
  <c r="K18" i="27"/>
  <c r="K19" i="27"/>
  <c r="K20" i="27"/>
  <c r="K21" i="27"/>
  <c r="K22" i="27"/>
  <c r="K23" i="27"/>
  <c r="K24" i="27"/>
  <c r="K25" i="27"/>
  <c r="K26" i="27"/>
  <c r="K27" i="27"/>
  <c r="K28" i="27"/>
  <c r="K29" i="27"/>
  <c r="K30" i="27"/>
  <c r="K31" i="27"/>
  <c r="K3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9" i="27"/>
  <c r="K110" i="27"/>
  <c r="K111" i="27"/>
  <c r="K112" i="27"/>
  <c r="K113" i="27"/>
  <c r="K114" i="27"/>
  <c r="K115" i="27"/>
  <c r="K116" i="27"/>
  <c r="K117" i="27"/>
  <c r="K118" i="27"/>
  <c r="K119" i="27"/>
  <c r="K120" i="27"/>
  <c r="K121" i="27"/>
  <c r="K122" i="27"/>
  <c r="K123"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J2" i="27"/>
  <c r="J3" i="27"/>
  <c r="J4" i="27"/>
  <c r="J5" i="27"/>
  <c r="J6" i="27"/>
  <c r="J7" i="27"/>
  <c r="J8" i="27"/>
  <c r="J9" i="27"/>
  <c r="J10" i="27"/>
  <c r="J11" i="27"/>
  <c r="J12" i="27"/>
  <c r="J13" i="27"/>
  <c r="J14" i="27"/>
  <c r="J15" i="27"/>
  <c r="J17" i="27"/>
  <c r="J18" i="27"/>
  <c r="J19" i="27"/>
  <c r="J20" i="27"/>
  <c r="J21" i="27"/>
  <c r="J22" i="27"/>
  <c r="J23" i="27"/>
  <c r="J24" i="27"/>
  <c r="J25" i="27"/>
  <c r="J26" i="27"/>
  <c r="J27" i="27"/>
  <c r="J28" i="27"/>
  <c r="J29" i="27"/>
  <c r="J30" i="27"/>
  <c r="J31" i="27"/>
  <c r="J3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9" i="27"/>
  <c r="J110" i="27"/>
  <c r="J111" i="27"/>
  <c r="J112" i="27"/>
  <c r="J113" i="27"/>
  <c r="J114" i="27"/>
  <c r="J115" i="27"/>
  <c r="J116" i="27"/>
  <c r="J117" i="27"/>
  <c r="J118" i="27"/>
  <c r="J119" i="27"/>
  <c r="J120" i="27"/>
  <c r="J121" i="27"/>
  <c r="J122" i="27"/>
  <c r="J123"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H6" i="30"/>
  <c r="I6" i="30"/>
  <c r="J6" i="30"/>
  <c r="K6" i="30"/>
  <c r="L6" i="30"/>
  <c r="M6" i="30"/>
  <c r="N6" i="30"/>
  <c r="O6" i="30"/>
  <c r="P6" i="30"/>
  <c r="Q6" i="30"/>
  <c r="R6" i="30"/>
  <c r="S6" i="30"/>
  <c r="T6" i="30"/>
  <c r="U6" i="30"/>
  <c r="V6" i="30"/>
  <c r="H3" i="30"/>
  <c r="I3" i="30"/>
  <c r="J3" i="30"/>
  <c r="K3" i="30"/>
  <c r="L3" i="30"/>
  <c r="M3" i="30"/>
  <c r="N3" i="30"/>
  <c r="O3" i="30"/>
  <c r="P3" i="30"/>
  <c r="R3" i="30"/>
  <c r="T3" i="30"/>
  <c r="U3" i="30"/>
  <c r="V3" i="30"/>
  <c r="I59" i="27"/>
  <c r="I58" i="27"/>
  <c r="I57" i="27"/>
  <c r="I56" i="27"/>
  <c r="I55" i="27"/>
  <c r="I54" i="27"/>
  <c r="I53" i="27"/>
  <c r="X64" i="27"/>
  <c r="X61" i="27"/>
  <c r="X102" i="27"/>
  <c r="X99" i="27"/>
  <c r="X92" i="27"/>
  <c r="X146" i="27"/>
  <c r="X147" i="27"/>
  <c r="X88" i="27"/>
  <c r="X126" i="27"/>
  <c r="X91" i="27"/>
  <c r="X153" i="27"/>
  <c r="X7" i="27"/>
  <c r="X80" i="27"/>
  <c r="X142" i="27"/>
  <c r="X8" i="27"/>
  <c r="X77" i="27"/>
  <c r="X139" i="27"/>
  <c r="X156" i="27"/>
  <c r="X95" i="27"/>
  <c r="X144" i="27"/>
  <c r="X130" i="27"/>
  <c r="X70" i="27"/>
  <c r="X145" i="27"/>
  <c r="X9" i="27"/>
  <c r="X131" i="27"/>
  <c r="X13" i="27"/>
  <c r="X123" i="27"/>
  <c r="X135" i="27"/>
  <c r="X112" i="27"/>
  <c r="X26" i="27"/>
  <c r="X97" i="27"/>
  <c r="X121" i="27"/>
  <c r="X115" i="27"/>
  <c r="X152" i="27"/>
  <c r="X132" i="27"/>
  <c r="X78" i="27"/>
  <c r="X74" i="27"/>
  <c r="X6" i="27"/>
  <c r="X161" i="27"/>
  <c r="X134" i="27"/>
  <c r="X118" i="27"/>
  <c r="X55" i="27"/>
  <c r="X60" i="27"/>
  <c r="X25" i="27"/>
  <c r="X98" i="27"/>
  <c r="X127" i="27"/>
  <c r="X81" i="27"/>
  <c r="X66" i="27"/>
  <c r="X22" i="27"/>
  <c r="X141" i="27"/>
  <c r="X84" i="27"/>
  <c r="X114" i="27"/>
  <c r="X56" i="27"/>
  <c r="X23" i="27"/>
  <c r="X20" i="27"/>
  <c r="X160" i="27"/>
  <c r="X163" i="27"/>
  <c r="X109" i="27"/>
  <c r="X59" i="27"/>
  <c r="X32" i="27"/>
  <c r="X110" i="27"/>
  <c r="X31" i="27"/>
  <c r="X68" i="27"/>
  <c r="X15" i="27"/>
  <c r="X21" i="27"/>
  <c r="X28" i="27"/>
  <c r="X54" i="27"/>
  <c r="X104" i="27"/>
  <c r="X76" i="27"/>
  <c r="X86" i="27"/>
  <c r="X75" i="27"/>
  <c r="X128" i="27"/>
  <c r="X111" i="27"/>
  <c r="X12" i="27"/>
  <c r="X72" i="27"/>
  <c r="X79" i="27"/>
  <c r="X65" i="27"/>
  <c r="X150" i="27"/>
  <c r="X105" i="27"/>
  <c r="X18" i="27"/>
  <c r="X27" i="27"/>
  <c r="X107" i="27"/>
  <c r="X30" i="27"/>
  <c r="X96" i="27"/>
  <c r="X158" i="27"/>
  <c r="X93" i="27"/>
  <c r="X155" i="27"/>
  <c r="X10" i="27"/>
  <c r="X162" i="27"/>
  <c r="X14" i="27"/>
  <c r="X106" i="27"/>
  <c r="X4" i="27"/>
  <c r="X140" i="27"/>
  <c r="X2" i="27"/>
  <c r="X53" i="27"/>
  <c r="X19" i="27"/>
  <c r="X148" i="27"/>
  <c r="X58" i="27"/>
  <c r="X103" i="27"/>
  <c r="X89" i="27"/>
  <c r="X122" i="27"/>
  <c r="X113" i="27"/>
  <c r="X29" i="27"/>
  <c r="X62" i="27"/>
  <c r="X157" i="27"/>
  <c r="X94" i="27"/>
  <c r="X67" i="27"/>
  <c r="X3" i="27"/>
  <c r="X5" i="27"/>
  <c r="X117" i="27"/>
  <c r="X101" i="27"/>
  <c r="X73" i="27"/>
  <c r="X24" i="27"/>
  <c r="X149" i="27"/>
  <c r="X120" i="27"/>
  <c r="X137" i="27"/>
  <c r="X82" i="27"/>
  <c r="X63" i="27"/>
  <c r="X159" i="27"/>
  <c r="X71" i="27"/>
  <c r="X11" i="27"/>
  <c r="X83" i="27"/>
  <c r="X138" i="27"/>
  <c r="X69" i="27"/>
  <c r="X151" i="27"/>
  <c r="X90" i="27"/>
  <c r="X129" i="27"/>
  <c r="X143" i="27"/>
  <c r="X87" i="27"/>
  <c r="X17" i="27"/>
  <c r="X154" i="27"/>
  <c r="X136" i="27"/>
  <c r="X125" i="27"/>
  <c r="X100" i="27"/>
  <c r="X85" i="27"/>
  <c r="X57" i="27"/>
  <c r="X133" i="27"/>
  <c r="X116" i="27"/>
  <c r="X119" i="27"/>
  <c r="I116" i="27" l="1"/>
  <c r="I11" i="27" l="1"/>
  <c r="I10" i="27"/>
  <c r="I9" i="27"/>
  <c r="I8" i="27"/>
  <c r="I7" i="27"/>
  <c r="I159" i="27" l="1"/>
  <c r="I163" i="27" l="1"/>
  <c r="I162" i="27"/>
  <c r="I161" i="27"/>
  <c r="I160" i="27"/>
  <c r="I158" i="27"/>
  <c r="I157" i="27"/>
  <c r="I156" i="27"/>
  <c r="I155" i="27"/>
  <c r="I154" i="27"/>
  <c r="I153" i="27"/>
  <c r="I152" i="27"/>
  <c r="I151" i="27"/>
  <c r="I150" i="27"/>
  <c r="I149" i="27"/>
  <c r="I148" i="27"/>
  <c r="V4" i="30" l="1"/>
  <c r="V2" i="30"/>
  <c r="V7" i="30"/>
  <c r="V8" i="30"/>
  <c r="V9" i="30"/>
  <c r="V11" i="30"/>
  <c r="V12" i="30"/>
  <c r="V10" i="30"/>
  <c r="V13" i="30"/>
  <c r="V14" i="30"/>
  <c r="V15" i="30"/>
  <c r="I32" i="27" l="1"/>
  <c r="I31" i="27"/>
  <c r="I77" i="27" l="1"/>
  <c r="I80" i="27"/>
  <c r="I69" i="27" l="1"/>
  <c r="I13" i="27" l="1"/>
  <c r="I17" i="27" l="1"/>
  <c r="I2" i="27" l="1"/>
  <c r="I3" i="27"/>
  <c r="I4" i="27"/>
  <c r="I5" i="27"/>
  <c r="I6" i="27"/>
  <c r="I12" i="27"/>
  <c r="I14" i="27"/>
  <c r="I15" i="27"/>
  <c r="I18" i="27" l="1"/>
  <c r="I19" i="27"/>
  <c r="I20" i="27"/>
  <c r="I21" i="27" l="1"/>
  <c r="I22" i="27"/>
  <c r="I23" i="27"/>
  <c r="I24" i="27"/>
  <c r="I25" i="27"/>
  <c r="I26" i="27"/>
  <c r="I27" i="27"/>
  <c r="I28" i="27" l="1"/>
  <c r="I29" i="27"/>
  <c r="I30" i="27"/>
  <c r="I60" i="27"/>
  <c r="I61" i="27"/>
  <c r="I62" i="27"/>
  <c r="I63" i="27"/>
  <c r="I64" i="27"/>
  <c r="I65" i="27"/>
  <c r="I66" i="27"/>
  <c r="I67" i="27"/>
  <c r="I68" i="27" l="1"/>
  <c r="I70" i="27"/>
  <c r="I71" i="27" l="1"/>
  <c r="I72" i="27"/>
  <c r="I73" i="27"/>
  <c r="I74" i="27"/>
  <c r="I75" i="27"/>
  <c r="I76" i="27"/>
  <c r="I78" i="27"/>
  <c r="I79" i="27"/>
  <c r="I81" i="27"/>
  <c r="I82" i="27"/>
  <c r="I83" i="27"/>
  <c r="I84" i="27" l="1"/>
  <c r="I85" i="27"/>
  <c r="I86" i="27"/>
  <c r="I87" i="27"/>
  <c r="I88" i="27" l="1"/>
  <c r="I89" i="27"/>
  <c r="I90" i="27"/>
  <c r="I91" i="27"/>
  <c r="I92" i="27"/>
  <c r="I93" i="27"/>
  <c r="I94" i="27"/>
  <c r="I95" i="27"/>
  <c r="I96" i="27"/>
  <c r="I97" i="27"/>
  <c r="I98" i="27"/>
  <c r="I99" i="27"/>
  <c r="I100" i="27"/>
  <c r="I101" i="27"/>
  <c r="I102" i="27"/>
  <c r="I103" i="27"/>
  <c r="I104" i="27"/>
  <c r="I105" i="27"/>
  <c r="I106" i="27"/>
  <c r="I107" i="27"/>
  <c r="I109" i="27"/>
  <c r="I110" i="27"/>
  <c r="I111" i="27"/>
  <c r="I112" i="27"/>
  <c r="I113" i="27"/>
  <c r="I114" i="27"/>
  <c r="I115" i="27"/>
  <c r="I117" i="27"/>
  <c r="I118" i="27"/>
  <c r="I119" i="27"/>
  <c r="I120" i="27"/>
  <c r="I121" i="27"/>
  <c r="I122" i="27"/>
  <c r="I123"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S2" i="30" l="1"/>
  <c r="H2" i="30"/>
  <c r="I2" i="30"/>
  <c r="J2" i="30"/>
  <c r="K2" i="30"/>
  <c r="L2" i="30"/>
  <c r="M2" i="30"/>
  <c r="N2" i="30"/>
  <c r="O2" i="30"/>
  <c r="P2" i="30"/>
  <c r="Q2" i="30"/>
  <c r="R2" i="30"/>
  <c r="T2" i="30"/>
  <c r="U2" i="30"/>
  <c r="H7" i="30" l="1"/>
  <c r="H8" i="30"/>
  <c r="H9" i="30"/>
  <c r="H10" i="30"/>
  <c r="H4" i="30"/>
  <c r="H11" i="30"/>
  <c r="H12" i="30"/>
  <c r="H15" i="30"/>
  <c r="H14" i="30"/>
  <c r="H13" i="30"/>
  <c r="U7" i="30"/>
  <c r="U8" i="30"/>
  <c r="U9" i="30"/>
  <c r="U10" i="30"/>
  <c r="U4" i="30"/>
  <c r="U11" i="30"/>
  <c r="U12" i="30"/>
  <c r="U15" i="30"/>
  <c r="U14" i="30"/>
  <c r="U13" i="30"/>
  <c r="T7" i="30"/>
  <c r="T8" i="30"/>
  <c r="T9" i="30"/>
  <c r="T10" i="30"/>
  <c r="T4" i="30"/>
  <c r="T11" i="30"/>
  <c r="T12" i="30"/>
  <c r="T15" i="30"/>
  <c r="T14" i="30"/>
  <c r="T13" i="30"/>
  <c r="S7" i="30"/>
  <c r="S8" i="30"/>
  <c r="S9" i="30"/>
  <c r="S10" i="30"/>
  <c r="S4" i="30"/>
  <c r="S11" i="30"/>
  <c r="S12" i="30"/>
  <c r="S15" i="30"/>
  <c r="S14" i="30"/>
  <c r="S13" i="30"/>
  <c r="R7" i="30"/>
  <c r="R8" i="30"/>
  <c r="R9" i="30"/>
  <c r="R10" i="30"/>
  <c r="R4" i="30"/>
  <c r="R11" i="30"/>
  <c r="R12" i="30"/>
  <c r="R15" i="30"/>
  <c r="R14" i="30"/>
  <c r="R13" i="30"/>
  <c r="Q7" i="30"/>
  <c r="Q8" i="30"/>
  <c r="Q9" i="30"/>
  <c r="Q10" i="30"/>
  <c r="Q4" i="30"/>
  <c r="Q11" i="30"/>
  <c r="Q12" i="30"/>
  <c r="Q15" i="30"/>
  <c r="Q14" i="30"/>
  <c r="Q13" i="30"/>
  <c r="J7" i="30"/>
  <c r="J8" i="30"/>
  <c r="J9" i="30"/>
  <c r="J10" i="30"/>
  <c r="J4" i="30"/>
  <c r="J11" i="30"/>
  <c r="J12" i="30"/>
  <c r="J15" i="30"/>
  <c r="J14" i="30"/>
  <c r="J13" i="30"/>
  <c r="K7" i="30"/>
  <c r="K8" i="30"/>
  <c r="K9" i="30"/>
  <c r="K10" i="30"/>
  <c r="K4" i="30"/>
  <c r="K11" i="30"/>
  <c r="K12" i="30"/>
  <c r="K15" i="30"/>
  <c r="K14" i="30"/>
  <c r="K13" i="30"/>
  <c r="L7" i="30"/>
  <c r="L8" i="30"/>
  <c r="L9" i="30"/>
  <c r="L10" i="30"/>
  <c r="L4" i="30"/>
  <c r="L11" i="30"/>
  <c r="L12" i="30"/>
  <c r="L15" i="30"/>
  <c r="L14" i="30"/>
  <c r="L13" i="30"/>
  <c r="M7" i="30"/>
  <c r="M8" i="30"/>
  <c r="M9" i="30"/>
  <c r="M10" i="30"/>
  <c r="M4" i="30"/>
  <c r="M11" i="30"/>
  <c r="M12" i="30"/>
  <c r="M15" i="30"/>
  <c r="M14" i="30"/>
  <c r="M13" i="30"/>
  <c r="N7" i="30"/>
  <c r="N8" i="30"/>
  <c r="N9" i="30"/>
  <c r="N10" i="30"/>
  <c r="N4" i="30"/>
  <c r="N11" i="30"/>
  <c r="N12" i="30"/>
  <c r="N15" i="30"/>
  <c r="N14" i="30"/>
  <c r="N13" i="30"/>
  <c r="O7" i="30"/>
  <c r="O8" i="30"/>
  <c r="O9" i="30"/>
  <c r="O10" i="30"/>
  <c r="O4" i="30"/>
  <c r="O11" i="30"/>
  <c r="O12" i="30"/>
  <c r="O15" i="30"/>
  <c r="O14" i="30"/>
  <c r="O13" i="30"/>
  <c r="P7" i="30"/>
  <c r="P8" i="30"/>
  <c r="P9" i="30"/>
  <c r="P10" i="30"/>
  <c r="P4" i="30"/>
  <c r="P11" i="30"/>
  <c r="P12" i="30"/>
  <c r="P15" i="30"/>
  <c r="P14" i="30"/>
  <c r="P13" i="30"/>
  <c r="I7" i="30"/>
  <c r="I8" i="30"/>
  <c r="I9" i="30"/>
  <c r="I10" i="30"/>
  <c r="I4" i="30"/>
  <c r="I11" i="30"/>
  <c r="I12" i="30"/>
  <c r="I15" i="30"/>
  <c r="I14" i="30"/>
  <c r="I13" i="30"/>
  <c r="Q3" i="30"/>
  <c r="S3" i="30"/>
</calcChain>
</file>

<file path=xl/sharedStrings.xml><?xml version="1.0" encoding="utf-8"?>
<sst xmlns="http://schemas.openxmlformats.org/spreadsheetml/2006/main" count="899" uniqueCount="274">
  <si>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</si>
  <si>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</si>
  <si>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</si>
  <si>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</si>
  <si>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</si>
  <si>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</si>
  <si>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</si>
  <si>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</si>
  <si>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</si>
  <si>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</si>
  <si>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</si>
  <si>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</si>
  <si>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</si>
  <si>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</si>
  <si>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</si>
  <si>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</si>
  <si>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</si>
  <si>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</si>
  <si>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</si>
  <si>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primaryContact</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</si>
  <si>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</si>
  <si>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</si>
  <si>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</si>
  <si>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</si>
  <si>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</si>
  <si>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</si>
  <si>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</si>
  <si>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</si>
  <si>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</si>
  <si>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</si>
  <si>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</si>
  <si>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</si>
  <si>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</si>
  <si>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</si>
  <si>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</si>
  <si>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</si>
  <si>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</si>
  <si>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</si>
  <si>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</si>
  <si>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</si>
  <si>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</si>
  <si>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</si>
  <si>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</si>
  <si>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</si>
  <si>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event</t>
  </si>
  <si>
    <t>NotificationEvent</t>
  </si>
  <si>
    <t>hasBeenViewed</t>
  </si>
  <si>
    <t>isWatchNotification</t>
  </si>
  <si>
    <t>user</t>
  </si>
  <si>
    <t>eventTime</t>
  </si>
  <si>
    <t>eventTypeCode</t>
  </si>
  <si>
    <t>active</t>
  </si>
  <si>
    <t>initials</t>
  </si>
  <si>
    <t>email</t>
  </si>
  <si>
    <t>smUserId</t>
  </si>
  <si>
    <t>Security Manager User ID</t>
  </si>
  <si>
    <t>guid</t>
  </si>
  <si>
    <t>smAuthorizationDirectory</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</si>
  <si>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</si>
  <si>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</si>
  <si>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</si>
  <si>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</si>
  <si>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</si>
  <si>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</si>
  <si>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</si>
  <si>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</si>
  <si>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</si>
  <si>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</si>
  <si>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</si>
  <si>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</si>
  <si>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</si>
  <si>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</si>
  <si>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</si>
  <si>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</si>
  <si>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</si>
  <si>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</si>
  <si>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</si>
  <si>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</si>
  <si>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</si>
  <si>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</si>
  <si>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</si>
  <si>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</si>
  <si>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</si>
  <si>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</si>
  <si>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</si>
  <si>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</si>
  <si>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</si>
  <si>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</si>
  <si>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</si>
  <si>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</si>
  <si>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</si>
  <si>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</si>
  <si>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</si>
  <si>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</si>
  <si>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</si>
  <si>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</si>
  <si>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</si>
  <si>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</si>
  <si>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</si>
  <si>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</si>
  <si>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</si>
  <si>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</si>
  <si>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</si>
  <si>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</si>
  <si>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</si>
  <si>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</si>
  <si>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</si>
  <si>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</si>
  <si>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</si>
  <si>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</si>
  <si>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The type of Favourite</t>
  </si>
  <si>
    <t>Note</t>
  </si>
  <si>
    <t>attachments</t>
  </si>
  <si>
    <t>Attachment</t>
  </si>
  <si>
    <t>history</t>
  </si>
  <si>
    <t>History</t>
  </si>
  <si>
    <t>A user set flag that the note is no longer relevant. Allows the note to be retained for historical reasons,  but identified to other users as no longer applicable.</t>
  </si>
  <si>
    <t>The text of the history entry tracked against the related entity.</t>
  </si>
  <si>
    <t>Contact</t>
  </si>
  <si>
    <t>noteText</t>
  </si>
  <si>
    <t>historyText</t>
  </si>
  <si>
    <t>A note about the contact maintained by the users.</t>
  </si>
  <si>
    <t>address1</t>
  </si>
  <si>
    <t>address2</t>
  </si>
  <si>
    <t>!Unique</t>
  </si>
  <si>
    <t>Unique</t>
  </si>
  <si>
    <t>binary</t>
  </si>
  <si>
    <t>histories</t>
  </si>
  <si>
    <t>float</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</si>
  <si>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</si>
  <si>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</si>
  <si>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</si>
  <si>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</si>
  <si>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</si>
  <si>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</si>
  <si>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</si>
  <si>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</si>
  <si>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</si>
  <si>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</si>
  <si>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</si>
  <si>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</si>
  <si>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</si>
  <si>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an Attachment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</si>
  <si>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</si>
  <si>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</si>
  <si>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</si>
  <si>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</si>
  <si>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</si>
  <si>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</si>
  <si>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</si>
  <si>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</si>
  <si>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</si>
  <si>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</si>
  <si>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</si>
  <si>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</si>
  <si>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</si>
  <si>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</si>
  <si>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</si>
  <si>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</si>
  <si>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</si>
  <si>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</si>
  <si>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</si>
  <si>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</si>
  <si>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</si>
  <si>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</si>
  <si>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</si>
  <si>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</si>
  <si>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</si>
  <si>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</si>
  <si>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</si>
  <si>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</si>
  <si>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</si>
  <si>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</si>
  <si>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</si>
  <si>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</si>
  <si>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</si>
  <si>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</si>
  <si>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</si>
  <si>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</si>
  <si>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</si>
  <si>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</si>
  <si>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</si>
  <si>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</si>
  <si>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</si>
  <si>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</si>
  <si>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</si>
  <si>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</si>
  <si>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</si>
  <si>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</si>
  <si>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</si>
  <si>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</si>
  <si>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</si>
  <si>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</si>
  <si>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</si>
  <si>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</si>
  <si>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</si>
  <si>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</si>
  <si>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</si>
  <si>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</si>
  <si>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</si>
  <si>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</si>
  <si>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</si>
  <si>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</si>
  <si>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</si>
  <si>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</si>
  <si>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</si>
  <si>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</si>
  <si>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</si>
  <si>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</si>
  <si>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</si>
  <si>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</si>
  <si>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</si>
  <si>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</si>
  <si>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</si>
  <si>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</si>
  <si>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</si>
  <si>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</si>
  <si>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</si>
  <si>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credittradetradelogentries</t>
  </si>
  <si>
    <t>CreditTradeLogEntry</t>
  </si>
  <si>
    <t>credittrades</t>
  </si>
  <si>
    <t>CreditTrade</t>
  </si>
  <si>
    <t>fuelSupplier</t>
  </si>
  <si>
    <t>tradeExecutionDate</t>
  </si>
  <si>
    <t>transactionType</t>
  </si>
  <si>
    <t>numberOfCredits</t>
  </si>
  <si>
    <t>fairMarketValuePrice</t>
  </si>
  <si>
    <t>FuelSupplier</t>
  </si>
  <si>
    <t>CompliancePeriod</t>
  </si>
  <si>
    <t>reviewedRejectedBy</t>
  </si>
  <si>
    <t>approvedRejectedBy</t>
  </si>
  <si>
    <t>cancelledBy</t>
  </si>
  <si>
    <t>creditTrade</t>
  </si>
  <si>
    <t>logEntryTime</t>
  </si>
  <si>
    <t>newCompliancePeriod</t>
  </si>
  <si>
    <t>newStatus</t>
  </si>
  <si>
    <t>newTradeExecutionDate</t>
  </si>
  <si>
    <t>newTransactionType</t>
  </si>
  <si>
    <t>newNumberOfCredits</t>
  </si>
  <si>
    <t>newFairMarketValuePrice</t>
  </si>
  <si>
    <t>newFuelSupplierBalanceAtTransactionTime</t>
  </si>
  <si>
    <t>Notes entered by users about instance of entities - e.g. Credit Trades and Fuel Suppliers</t>
  </si>
  <si>
    <t>Attachments uploaded by users about instance of entities - e.g. Credit Trades and Fuel Suppliers</t>
  </si>
  <si>
    <t>The history of updates made to an entity - e.g. a Credit Trades and Fuel Suppliers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</si>
  <si>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</si>
  <si>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</si>
  <si>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</si>
  <si>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</si>
  <si>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The status of the user in the system. Only a status of "Active" allows the user access to the system.</t>
  </si>
  <si>
    <t>LookupList</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</si>
  <si>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</si>
  <si>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</si>
  <si>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</si>
  <si>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</si>
  <si>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</si>
  <si>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</si>
  <si>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</si>
  <si>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a shorter lookup name to find the value. Can be used at the option of the application to present on the screen a short version of the lookup list value.</t>
  </si>
  <si>
    <t>The fully spelled out value of the lookup entry.</t>
  </si>
  <si>
    <t>Lookup values for various enumerated types in the systems - entity status values, trade types and others. Used to pull the values out of the code and into the database but without having to have a table for each lookup instance.</t>
  </si>
  <si>
    <t>fuelsuppliers</t>
  </si>
  <si>
    <t>lookuplists</t>
  </si>
  <si>
    <t>complianceperiods</t>
  </si>
  <si>
    <t>Offer</t>
  </si>
  <si>
    <t>buyOrSell</t>
  </si>
  <si>
    <t>datePosted</t>
  </si>
  <si>
    <t>note</t>
  </si>
  <si>
    <t>offer</t>
  </si>
  <si>
    <t>numberOfViews</t>
  </si>
  <si>
    <t>initiator</t>
  </si>
  <si>
    <t>respondent</t>
  </si>
  <si>
    <t>initiatorLastUpdateBy</t>
  </si>
  <si>
    <t>respondentLastUpdatedBy</t>
  </si>
  <si>
    <t>fuelSupplierBalanceBeforeTransaction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</si>
</sst>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1" fillId="0" borderId="0"/>
    <xf numFmtId="0" fontId="12" fillId="0" borderId="0"/>
    <xf numFmtId="0" fontId="9" fillId="0" borderId="0"/>
  </cellStyleXfs>
  <cellXfs count="69">
    <xf numFmtId="0" fontId="0" fillId="0" borderId="0" xfId="0"/>
    <xf numFmtId="0" fontId="25" fillId="0" borderId="0" xfId="719" applyFont="1" applyAlignment="1">
      <alignment vertical="top"/>
    </xf>
    <xf numFmtId="0" fontId="25" fillId="0" borderId="0" xfId="719" applyFont="1" applyAlignment="1">
      <alignment vertical="top" wrapText="1"/>
    </xf>
    <xf numFmtId="0" fontId="21" fillId="0" borderId="0" xfId="719"/>
    <xf numFmtId="0" fontId="21" fillId="0" borderId="0" xfId="719" applyNumberFormat="1" applyAlignment="1">
      <alignment vertical="top"/>
    </xf>
    <xf numFmtId="0" fontId="21" fillId="0" borderId="0" xfId="719" applyAlignment="1">
      <alignment vertical="top"/>
    </xf>
    <xf numFmtId="0" fontId="21" fillId="0" borderId="0" xfId="719" applyAlignment="1">
      <alignment vertical="top" wrapText="1"/>
    </xf>
    <xf numFmtId="0" fontId="24" fillId="0" borderId="0" xfId="0" applyFont="1"/>
    <xf numFmtId="0" fontId="20" fillId="0" borderId="0" xfId="719" applyFont="1"/>
    <xf numFmtId="0" fontId="0" fillId="0" borderId="0" xfId="0" applyAlignment="1">
      <alignment vertical="top"/>
    </xf>
    <xf numFmtId="0" fontId="25" fillId="0" borderId="0" xfId="0" applyFont="1" applyAlignment="1">
      <alignment vertical="top"/>
    </xf>
    <xf numFmtId="0" fontId="19" fillId="0" borderId="0" xfId="719" applyFont="1"/>
    <xf numFmtId="0" fontId="21" fillId="0" borderId="0" xfId="719" applyFill="1" applyAlignment="1">
      <alignment vertical="top" wrapText="1"/>
    </xf>
    <xf numFmtId="0" fontId="21" fillId="0" borderId="0" xfId="719" applyNumberFormat="1" applyFill="1"/>
    <xf numFmtId="0" fontId="0" fillId="0" borderId="0" xfId="0" applyNumberFormat="1" applyAlignment="1">
      <alignment vertical="top"/>
    </xf>
    <xf numFmtId="0" fontId="18" fillId="0" borderId="0" xfId="719" applyFont="1"/>
    <xf numFmtId="0" fontId="21" fillId="0" borderId="0" xfId="719" applyNumberFormat="1" applyFill="1" applyAlignment="1">
      <alignment vertical="top"/>
    </xf>
    <xf numFmtId="0" fontId="17" fillId="0" borderId="0" xfId="719" applyFont="1" applyAlignment="1">
      <alignment vertical="top"/>
    </xf>
    <xf numFmtId="0" fontId="16" fillId="0" borderId="0" xfId="719" applyFont="1" applyAlignment="1">
      <alignment vertical="top"/>
    </xf>
    <xf numFmtId="0" fontId="16" fillId="0" borderId="0" xfId="719" applyFont="1" applyAlignment="1">
      <alignment vertical="top" wrapText="1"/>
    </xf>
    <xf numFmtId="0" fontId="15" fillId="0" borderId="0" xfId="719" applyFont="1"/>
    <xf numFmtId="0" fontId="15" fillId="0" borderId="0" xfId="719" applyFont="1" applyAlignment="1">
      <alignment vertical="top"/>
    </xf>
    <xf numFmtId="0" fontId="15" fillId="0" borderId="0" xfId="719" applyFont="1" applyAlignment="1">
      <alignment vertical="top" wrapText="1"/>
    </xf>
    <xf numFmtId="0" fontId="21" fillId="0" borderId="0" xfId="719" applyAlignment="1"/>
    <xf numFmtId="0" fontId="15" fillId="0" borderId="0" xfId="719" applyFont="1" applyAlignment="1"/>
    <xf numFmtId="0" fontId="14" fillId="0" borderId="0" xfId="719" applyNumberFormat="1" applyFont="1" applyAlignment="1">
      <alignment vertical="top"/>
    </xf>
    <xf numFmtId="0" fontId="13" fillId="0" borderId="0" xfId="719" applyFont="1"/>
    <xf numFmtId="0" fontId="0" fillId="0" borderId="0" xfId="0" applyNumberFormat="1"/>
    <xf numFmtId="0" fontId="25" fillId="0" borderId="0" xfId="0" applyFont="1"/>
    <xf numFmtId="0" fontId="12" fillId="0" borderId="0" xfId="719" applyFont="1" applyAlignment="1"/>
    <xf numFmtId="0" fontId="11" fillId="0" borderId="0" xfId="719" applyFont="1" applyAlignment="1"/>
    <xf numFmtId="0" fontId="11" fillId="0" borderId="0" xfId="719" applyFont="1" applyAlignment="1">
      <alignment vertical="top"/>
    </xf>
    <xf numFmtId="0" fontId="11" fillId="0" borderId="0" xfId="719" applyNumberFormat="1" applyFont="1" applyAlignment="1">
      <alignment vertical="top"/>
    </xf>
    <xf numFmtId="0" fontId="11" fillId="0" borderId="0" xfId="719" applyNumberFormat="1" applyFont="1" applyFill="1" applyAlignment="1">
      <alignment vertical="top"/>
    </xf>
    <xf numFmtId="0" fontId="10" fillId="0" borderId="0" xfId="719" applyNumberFormat="1" applyFont="1" applyAlignment="1">
      <alignment vertical="top"/>
    </xf>
    <xf numFmtId="0" fontId="9" fillId="0" borderId="0" xfId="719" applyFont="1" applyAlignment="1">
      <alignment vertical="top" wrapText="1"/>
    </xf>
    <xf numFmtId="0" fontId="8" fillId="0" borderId="0" xfId="719" applyFont="1"/>
    <xf numFmtId="0" fontId="8" fillId="0" borderId="0" xfId="719" applyFont="1" applyAlignment="1">
      <alignment vertical="top"/>
    </xf>
    <xf numFmtId="0" fontId="8" fillId="0" borderId="0" xfId="719" applyFont="1" applyAlignment="1"/>
    <xf numFmtId="0" fontId="7" fillId="0" borderId="0" xfId="719" applyFont="1"/>
    <xf numFmtId="0" fontId="7" fillId="0" borderId="0" xfId="719" applyFont="1" applyAlignment="1">
      <alignment vertical="top"/>
    </xf>
    <xf numFmtId="0" fontId="7" fillId="0" borderId="0" xfId="719" applyFont="1" applyAlignment="1"/>
    <xf numFmtId="0" fontId="6" fillId="0" borderId="0" xfId="719" applyFont="1" applyAlignment="1"/>
    <xf numFmtId="0" fontId="5" fillId="0" borderId="0" xfId="719" applyFont="1" applyAlignment="1">
      <alignment vertical="top"/>
    </xf>
    <xf numFmtId="0" fontId="5" fillId="0" borderId="0" xfId="719" applyFont="1" applyAlignment="1"/>
    <xf numFmtId="0" fontId="5" fillId="0" borderId="0" xfId="719" applyNumberFormat="1" applyFont="1" applyFill="1" applyAlignment="1">
      <alignment vertical="top"/>
    </xf>
    <xf numFmtId="0" fontId="4" fillId="0" borderId="0" xfId="719" applyFont="1" applyAlignment="1">
      <alignment vertical="top"/>
    </xf>
    <xf numFmtId="0" fontId="3" fillId="0" borderId="0" xfId="719" applyFont="1"/>
    <xf numFmtId="0" fontId="3" fillId="0" borderId="0" xfId="719" applyFont="1" applyAlignment="1"/>
    <xf numFmtId="0" fontId="3" fillId="0" borderId="0" xfId="719" applyFont="1" applyAlignment="1">
      <alignment vertical="top"/>
    </xf>
    <xf numFmtId="0" fontId="3" fillId="0" borderId="0" xfId="719" applyNumberFormat="1" applyFont="1" applyAlignment="1">
      <alignment vertical="top"/>
    </xf>
    <xf numFmtId="0" fontId="3" fillId="0" borderId="0" xfId="719" applyNumberFormat="1" applyFont="1" applyFill="1" applyAlignment="1">
      <alignment vertical="top"/>
    </xf>
    <xf numFmtId="0" fontId="3" fillId="0" borderId="0" xfId="719" applyFont="1" applyAlignment="1">
      <alignment vertical="top" wrapText="1"/>
    </xf>
    <xf numFmtId="0" fontId="12" fillId="0" borderId="0" xfId="719" applyFont="1" applyAlignment="1">
      <alignment vertical="top"/>
    </xf>
    <xf numFmtId="0" fontId="3" fillId="0" borderId="0" xfId="719" applyFont="1" applyFill="1" applyAlignment="1">
      <alignment vertical="top"/>
    </xf>
    <xf numFmtId="0" fontId="21" fillId="0" borderId="0" xfId="719" applyFill="1" applyAlignment="1">
      <alignment vertical="top"/>
    </xf>
    <xf numFmtId="49" fontId="3" fillId="0" borderId="0" xfId="719" applyNumberFormat="1" applyFont="1" applyFill="1" applyAlignment="1">
      <alignment vertical="top" wrapText="1"/>
    </xf>
    <xf numFmtId="0" fontId="26" fillId="0" borderId="0" xfId="719" applyNumberFormat="1" applyFont="1" applyFill="1" applyAlignment="1">
      <alignment vertical="top"/>
    </xf>
    <xf numFmtId="0" fontId="3" fillId="0" borderId="0" xfId="719" applyFont="1" applyFill="1"/>
    <xf numFmtId="0" fontId="2" fillId="0" borderId="0" xfId="719" applyFont="1"/>
    <xf numFmtId="0" fontId="2" fillId="0" borderId="0" xfId="719" applyFont="1" applyAlignment="1">
      <alignment vertical="top"/>
    </xf>
    <xf numFmtId="0" fontId="2" fillId="0" borderId="0" xfId="719" applyFont="1" applyAlignment="1">
      <alignment vertical="top" wrapText="1"/>
    </xf>
    <xf numFmtId="0" fontId="2" fillId="0" borderId="0" xfId="719" applyNumberFormat="1" applyFont="1" applyFill="1" applyAlignment="1">
      <alignment vertical="top"/>
    </xf>
    <xf numFmtId="0" fontId="2" fillId="0" borderId="0" xfId="719" applyNumberFormat="1" applyFont="1" applyAlignment="1">
      <alignment vertical="top"/>
    </xf>
    <xf numFmtId="0" fontId="1" fillId="0" borderId="0" xfId="719" applyFont="1" applyAlignment="1">
      <alignment vertical="top"/>
    </xf>
    <xf numFmtId="0" fontId="1" fillId="0" borderId="0" xfId="719" applyNumberFormat="1" applyFont="1" applyFill="1" applyAlignment="1">
      <alignment vertical="top"/>
    </xf>
    <xf numFmtId="0" fontId="1" fillId="0" borderId="0" xfId="719" applyFont="1" applyAlignment="1">
      <alignment vertical="top" wrapText="1"/>
    </xf>
    <xf numFmtId="0" fontId="1" fillId="0" borderId="0" xfId="719" applyFont="1"/>
    <xf numFmtId="0" fontId="1" fillId="0" borderId="0" xfId="719" applyNumberFormat="1"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9">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63" totalsRowShown="0" headerRowDxfId="48" dataDxfId="47">
  <autoFilter ref="A1:Y163"/>
  <tableColumns count="25">
    <tableColumn id="1" name="!Table" dataDxfId="46"/>
    <tableColumn id="2" name="!Type" dataDxfId="45"/>
    <tableColumn id="6" name="!Length"/>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15" totalsRowShown="0" headerRowDxfId="22" dataDxfId="21">
  <autoFilter ref="A1:V15"/>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63"/>
  <sheetViews>
    <sheetView tabSelected="1" zoomScale="110" zoomScaleNormal="110" workbookViewId="0">
      <pane ySplit="1" topLeftCell="A2" activePane="bottomLeft" state="frozen"/>
      <selection pane="bottomLeft" activeCell="D15" sqref="D15"/>
    </sheetView>
  </sheetViews>
  <sheetFormatPr defaultColWidth="8.7265625" defaultRowHeight="16.100000000000001" x14ac:dyDescent="0.35"/>
  <cols>
    <col min="1" max="1" width="25.1796875" style="5" customWidth="1"/>
    <col min="2" max="2" width="8.7265625" style="5"/>
    <col min="3" max="3" width="8.08984375" style="5" customWidth="1"/>
    <col min="4" max="4" width="33.453125" style="6" customWidth="1"/>
    <col min="5" max="5" width="66.7265625" style="5" customWidth="1"/>
    <col min="6" max="6" width="24.1796875" style="5" customWidth="1"/>
    <col min="7" max="7" width="12.1796875" style="5" customWidth="1"/>
    <col min="8" max="8" width="9.7265625" style="5" customWidth="1"/>
    <col min="9" max="9" width="8.1796875" style="5" customWidth="1"/>
    <col min="10" max="22" width="8.7265625" style="5" customWidth="1"/>
    <col min="23" max="23" width="8.7265625" customWidth="1"/>
    <col min="24" max="24" width="8.7265625" style="5" customWidth="1"/>
    <col min="25" max="25" width="9" customWidth="1"/>
    <col min="26" max="16384" width="8.7265625" style="5"/>
  </cols>
  <sheetData>
    <row r="1" spans="1:25" s="1" customFormat="1" x14ac:dyDescent="0.35">
      <c r="A1" s="1" t="s">
        <v>96</v>
      </c>
      <c r="B1" s="1" t="s">
        <v>97</v>
      </c>
      <c r="C1" s="1" t="s">
        <v>98</v>
      </c>
      <c r="D1" s="1" t="s">
        <v>99</v>
      </c>
      <c r="E1" s="1" t="s">
        <v>95</v>
      </c>
      <c r="F1" s="2" t="s">
        <v>100</v>
      </c>
      <c r="G1" s="1" t="s">
        <v>74</v>
      </c>
      <c r="H1" s="1" t="s">
        <v>124</v>
      </c>
      <c r="I1" s="7" t="s">
        <v>72</v>
      </c>
      <c r="J1" s="28" t="s">
        <v>10</v>
      </c>
      <c r="K1" s="28" t="s">
        <v>126</v>
      </c>
      <c r="L1" s="10" t="s">
        <v>11</v>
      </c>
      <c r="M1" s="10" t="s">
        <v>6</v>
      </c>
      <c r="N1" s="10" t="s">
        <v>12</v>
      </c>
      <c r="O1" s="10" t="s">
        <v>128</v>
      </c>
      <c r="P1" s="10" t="s">
        <v>27</v>
      </c>
      <c r="Q1" s="10" t="s">
        <v>8</v>
      </c>
      <c r="R1" s="10" t="s">
        <v>7</v>
      </c>
      <c r="S1" s="10" t="s">
        <v>4</v>
      </c>
      <c r="T1" s="10" t="s">
        <v>2</v>
      </c>
      <c r="U1" s="10" t="s">
        <v>3</v>
      </c>
      <c r="V1" s="10" t="s">
        <v>1</v>
      </c>
      <c r="W1" s="10" t="s">
        <v>101</v>
      </c>
      <c r="X1" s="10" t="s">
        <v>73</v>
      </c>
      <c r="Y1" s="10" t="s">
        <v>125</v>
      </c>
    </row>
    <row r="2" spans="1:25" s="4" customFormat="1" x14ac:dyDescent="0.35">
      <c r="A2" s="47" t="s">
        <v>221</v>
      </c>
      <c r="B2" s="3" t="s">
        <v>4</v>
      </c>
      <c r="C2" s="3"/>
      <c r="D2" s="47" t="s">
        <v>221</v>
      </c>
      <c r="E2" s="23"/>
      <c r="F2" s="3" t="s">
        <v>5</v>
      </c>
      <c r="I2" t="str">
        <f t="shared" ref="I2:I15"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9" t="str">
        <f>IF(LEN(Table2[[#This Row],[!Length]]) &gt; 0, Table2[[#This Row],[!Length]], "rg:None")</f>
        <v>rg:None</v>
      </c>
      <c r="U2" s="9" t="str">
        <f>IF(LEN(Table2[[#This Row],[!Name]]) &gt; 0, Table2[[#This Row],[!Name]], "rg:None")</f>
        <v>CreditTrade</v>
      </c>
      <c r="V2" s="9" t="str">
        <f>IF(LEN(Table2[[#This Row],[!Description]]) &gt; 0, Table2[[#This Row],[!Description]], "rg:None")</f>
        <v>rg:None</v>
      </c>
      <c r="W2" s="9" t="str">
        <f>IF(LEN(Table2[[#This Row],[!FK]])&gt;0,Table2[[#This Row],[!FK]],"rg:None")</f>
        <v>rg:None</v>
      </c>
      <c r="X2" s="9" t="str">
        <f>IF(LEN(concatif2(A:A,Table2[[#This Row],[!Table]],G:G,"Y",D:D,",")) &gt; 0,"rg:[ { 'req' : '"&amp;concatif2(A:A,Table2[[#This Row],[!Table]],G:G,"Y",D:D,"' }, { 'req': '")&amp;"'} ]","rg:[]")</f>
        <v>rg:[ { 'req' : 'id' }, { 'req': 'respondent' }, { 'req': 'initiatorLastUpdateBy' }, { 'req': 'transactionType' }, { 'req': 'numberOfCredits'} ]</v>
      </c>
      <c r="Y2" s="9" t="str">
        <f>IF(LEN(Table2[[#This Row],[!Unique]])&gt;0,IF(Table2[[#This Row],[!Type]] = "id", "rg:None","rg:True"),"rg:None")</f>
        <v>rg:None</v>
      </c>
    </row>
    <row r="3" spans="1:25" s="4" customFormat="1" x14ac:dyDescent="0.35">
      <c r="A3" s="47" t="s">
        <v>221</v>
      </c>
      <c r="B3" s="3" t="s">
        <v>6</v>
      </c>
      <c r="C3" s="3"/>
      <c r="D3" s="3" t="s">
        <v>6</v>
      </c>
      <c r="E3" s="23"/>
      <c r="F3" s="3" t="s">
        <v>5</v>
      </c>
      <c r="G3" s="4" t="s">
        <v>69</v>
      </c>
      <c r="H3" s="32" t="s">
        <v>69</v>
      </c>
      <c r="I3" s="5" t="str">
        <f t="shared" si="0"/>
        <v>Defs</v>
      </c>
      <c r="J3" t="str">
        <f>IF(Table2[[#This Row],[!Type]]=J$1, J$1,"rg:None")</f>
        <v>rg:None</v>
      </c>
      <c r="K3" t="str">
        <f>IF(Table2[[#This Row],[!Type]]=K$1, K$1,"rg:None")</f>
        <v>rg:None</v>
      </c>
      <c r="L3" t="str">
        <f>IF(Table2[[#This Row],[!Type]]=L$1, L$1,"rg:None")</f>
        <v>rg:None</v>
      </c>
      <c r="M3" t="str">
        <f>IF(Table2[[#This Row],[!Type]]=M$1, M$1,"rg:None")</f>
        <v>id</v>
      </c>
      <c r="N3" s="9" t="str">
        <f>IF(Table2[[#This Row],[!Type]]=N$1, N$1,"rg:None")</f>
        <v>rg:None</v>
      </c>
      <c r="O3" s="9"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9" t="str">
        <f>IF(LEN(Table2[[#This Row],[!Length]]) &gt; 0, Table2[[#This Row],[!Length]], "rg:None")</f>
        <v>rg:None</v>
      </c>
      <c r="U3" s="9" t="str">
        <f>IF(LEN(Table2[[#This Row],[!Name]]) &gt; 0, Table2[[#This Row],[!Name]], "rg:None")</f>
        <v>id</v>
      </c>
      <c r="V3" s="9" t="str">
        <f>IF(LEN(Table2[[#This Row],[!Description]]) &gt; 0, Table2[[#This Row],[!Description]], "rg:None")</f>
        <v>rg:None</v>
      </c>
      <c r="W3" s="9" t="str">
        <f>IF(LEN(Table2[[#This Row],[!FK]])&gt;0,Table2[[#This Row],[!FK]],"rg:None")</f>
        <v>rg:None</v>
      </c>
      <c r="X3" s="9" t="str">
        <f>IF(LEN(concatif2(A:A,Table2[[#This Row],[!Table]],G:G,"Y",D:D,",")) &gt; 0,"rg:[ { 'req' : '"&amp;concatif2(A:A,Table2[[#This Row],[!Table]],G:G,"Y",D:D,"' }, { 'req': '")&amp;"'} ]","rg:[]")</f>
        <v>rg:[ { 'req' : 'id' }, { 'req': 'respondent' }, { 'req': 'initiatorLastUpdateBy' }, { 'req': 'transactionType' }, { 'req': 'numberOfCredits'} ]</v>
      </c>
      <c r="Y3" s="9" t="str">
        <f>IF(LEN(Table2[[#This Row],[!Unique]])&gt;0,IF(Table2[[#This Row],[!Type]] = "id", "rg:None","rg:True"),"rg:None")</f>
        <v>rg:None</v>
      </c>
    </row>
    <row r="4" spans="1:25" s="4" customFormat="1" x14ac:dyDescent="0.35">
      <c r="A4" s="47" t="s">
        <v>221</v>
      </c>
      <c r="B4" s="3" t="s">
        <v>7</v>
      </c>
      <c r="C4" s="3"/>
      <c r="D4" s="47" t="s">
        <v>9</v>
      </c>
      <c r="E4" s="23"/>
      <c r="F4" s="3" t="s">
        <v>5</v>
      </c>
      <c r="H4" s="32"/>
      <c r="I4" s="5" t="str">
        <f t="shared" si="0"/>
        <v>Defs</v>
      </c>
      <c r="J4" t="str">
        <f>IF(Table2[[#This Row],[!Type]]=J$1, J$1,"rg:None")</f>
        <v>rg:None</v>
      </c>
      <c r="K4" t="str">
        <f>IF(Table2[[#This Row],[!Type]]=K$1, K$1,"rg:None")</f>
        <v>rg:None</v>
      </c>
      <c r="L4" t="str">
        <f>IF(Table2[[#This Row],[!Type]]=L$1, L$1,"rg:None")</f>
        <v>rg:None</v>
      </c>
      <c r="M4" t="str">
        <f>IF(Table2[[#This Row],[!Type]]=M$1, M$1,"rg:None")</f>
        <v>rg:None</v>
      </c>
      <c r="N4" s="9" t="str">
        <f>IF(Table2[[#This Row],[!Type]]=N$1, N$1,"rg:None")</f>
        <v>rg:None</v>
      </c>
      <c r="O4" s="9"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9" t="str">
        <f>IF(LEN(Table2[[#This Row],[!Length]]) &gt; 0, Table2[[#This Row],[!Length]], "rg:None")</f>
        <v>rg:None</v>
      </c>
      <c r="U4" s="9" t="str">
        <f>IF(LEN(Table2[[#This Row],[!Name]]) &gt; 0, Table2[[#This Row],[!Name]], "rg:None")</f>
        <v>status</v>
      </c>
      <c r="V4" s="9" t="str">
        <f>IF(LEN(Table2[[#This Row],[!Description]]) &gt; 0, Table2[[#This Row],[!Description]], "rg:None")</f>
        <v>rg:None</v>
      </c>
      <c r="W4" s="9" t="str">
        <f>IF(LEN(Table2[[#This Row],[!FK]])&gt;0,Table2[[#This Row],[!FK]],"rg:None")</f>
        <v>rg:None</v>
      </c>
      <c r="X4" s="9" t="str">
        <f>IF(LEN(concatif2(A:A,Table2[[#This Row],[!Table]],G:G,"Y",D:D,",")) &gt; 0,"rg:[ { 'req' : '"&amp;concatif2(A:A,Table2[[#This Row],[!Table]],G:G,"Y",D:D,"' }, { 'req': '")&amp;"'} ]","rg:[]")</f>
        <v>rg:[ { 'req' : 'id' }, { 'req': 'respondent' }, { 'req': 'initiatorLastUpdateBy' }, { 'req': 'transactionType' }, { 'req': 'numberOfCredits'} ]</v>
      </c>
      <c r="Y4" s="9" t="str">
        <f>IF(LEN(Table2[[#This Row],[!Unique]])&gt;0,IF(Table2[[#This Row],[!Type]] = "id", "rg:None","rg:True"),"rg:None")</f>
        <v>rg:None</v>
      </c>
    </row>
    <row r="5" spans="1:25" s="4" customFormat="1" x14ac:dyDescent="0.35">
      <c r="A5" s="47" t="s">
        <v>221</v>
      </c>
      <c r="B5" s="47" t="s">
        <v>8</v>
      </c>
      <c r="C5" s="3"/>
      <c r="D5" s="67" t="s">
        <v>269</v>
      </c>
      <c r="E5" s="23"/>
      <c r="F5" s="47" t="s">
        <v>227</v>
      </c>
      <c r="G5" s="50"/>
      <c r="H5" s="32"/>
      <c r="I5" s="5" t="str">
        <f t="shared" si="0"/>
        <v>Defs</v>
      </c>
      <c r="J5" t="str">
        <f>IF(Table2[[#This Row],[!Type]]=J$1, J$1,"rg:None")</f>
        <v>rg:None</v>
      </c>
      <c r="K5" t="str">
        <f>IF(Table2[[#This Row],[!Type]]=K$1, K$1,"rg:None")</f>
        <v>rg:None</v>
      </c>
      <c r="L5" t="str">
        <f>IF(Table2[[#This Row],[!Type]]=L$1, L$1,"rg:None")</f>
        <v>rg:None</v>
      </c>
      <c r="M5" t="str">
        <f>IF(Table2[[#This Row],[!Type]]=M$1, M$1,"rg:None")</f>
        <v>rg:None</v>
      </c>
      <c r="N5" s="9" t="str">
        <f>IF(Table2[[#This Row],[!Type]]=N$1, N$1,"rg:None")</f>
        <v>rg:None</v>
      </c>
      <c r="O5" s="9"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9" t="str">
        <f>IF(LEN(Table2[[#This Row],[!Length]]) &gt; 0, Table2[[#This Row],[!Length]], "rg:None")</f>
        <v>rg:None</v>
      </c>
      <c r="U5" s="9" t="str">
        <f>IF(LEN(Table2[[#This Row],[!Name]]) &gt; 0, Table2[[#This Row],[!Name]], "rg:None")</f>
        <v>initiator</v>
      </c>
      <c r="V5" s="9" t="str">
        <f>IF(LEN(Table2[[#This Row],[!Description]]) &gt; 0, Table2[[#This Row],[!Description]], "rg:None")</f>
        <v>rg:None</v>
      </c>
      <c r="W5" s="9" t="str">
        <f>IF(LEN(Table2[[#This Row],[!FK]])&gt;0,Table2[[#This Row],[!FK]],"rg:None")</f>
        <v>FuelSupplier</v>
      </c>
      <c r="X5" s="9" t="str">
        <f>IF(LEN(concatif2(A:A,Table2[[#This Row],[!Table]],G:G,"Y",D:D,",")) &gt; 0,"rg:[ { 'req' : '"&amp;concatif2(A:A,Table2[[#This Row],[!Table]],G:G,"Y",D:D,"' }, { 'req': '")&amp;"'} ]","rg:[]")</f>
        <v>rg:[ { 'req' : 'id' }, { 'req': 'respondent' }, { 'req': 'initiatorLastUpdateBy' }, { 'req': 'transactionType' }, { 'req': 'numberOfCredits'} ]</v>
      </c>
      <c r="Y5" s="9" t="str">
        <f>IF(LEN(Table2[[#This Row],[!Unique]])&gt;0,IF(Table2[[#This Row],[!Type]] = "id", "rg:None","rg:True"),"rg:None")</f>
        <v>rg:None</v>
      </c>
    </row>
    <row r="6" spans="1:25" s="4" customFormat="1" x14ac:dyDescent="0.35">
      <c r="A6" s="47" t="s">
        <v>221</v>
      </c>
      <c r="B6" s="47" t="s">
        <v>8</v>
      </c>
      <c r="C6" s="3"/>
      <c r="D6" s="67" t="s">
        <v>270</v>
      </c>
      <c r="E6" s="23"/>
      <c r="F6" s="47" t="s">
        <v>227</v>
      </c>
      <c r="G6" s="68" t="s">
        <v>69</v>
      </c>
      <c r="H6" s="25"/>
      <c r="I6" s="5" t="str">
        <f t="shared" si="0"/>
        <v>Defs</v>
      </c>
      <c r="J6" t="str">
        <f>IF(Table2[[#This Row],[!Type]]=J$1, J$1,"rg:None")</f>
        <v>rg:None</v>
      </c>
      <c r="K6" t="str">
        <f>IF(Table2[[#This Row],[!Type]]=K$1, K$1,"rg:None")</f>
        <v>rg:None</v>
      </c>
      <c r="L6" t="str">
        <f>IF(Table2[[#This Row],[!Type]]=L$1, L$1,"rg:None")</f>
        <v>rg:None</v>
      </c>
      <c r="M6" t="str">
        <f>IF(Table2[[#This Row],[!Type]]=M$1, M$1,"rg:None")</f>
        <v>rg:None</v>
      </c>
      <c r="N6" s="9" t="str">
        <f>IF(Table2[[#This Row],[!Type]]=N$1, N$1,"rg:None")</f>
        <v>rg:None</v>
      </c>
      <c r="O6" s="9"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9" t="str">
        <f>IF(LEN(Table2[[#This Row],[!Length]]) &gt; 0, Table2[[#This Row],[!Length]], "rg:None")</f>
        <v>rg:None</v>
      </c>
      <c r="U6" s="9" t="str">
        <f>IF(LEN(Table2[[#This Row],[!Name]]) &gt; 0, Table2[[#This Row],[!Name]], "rg:None")</f>
        <v>respondent</v>
      </c>
      <c r="V6" s="9" t="str">
        <f>IF(LEN(Table2[[#This Row],[!Description]]) &gt; 0, Table2[[#This Row],[!Description]], "rg:None")</f>
        <v>rg:None</v>
      </c>
      <c r="W6" s="9" t="str">
        <f>IF(LEN(Table2[[#This Row],[!FK]])&gt;0,Table2[[#This Row],[!FK]],"rg:None")</f>
        <v>FuelSupplier</v>
      </c>
      <c r="X6" s="9" t="str">
        <f>IF(LEN(concatif2(A:A,Table2[[#This Row],[!Table]],G:G,"Y",D:D,",")) &gt; 0,"rg:[ { 'req' : '"&amp;concatif2(A:A,Table2[[#This Row],[!Table]],G:G,"Y",D:D,"' }, { 'req': '")&amp;"'} ]","rg:[]")</f>
        <v>rg:[ { 'req' : 'id' }, { 'req': 'respondent' }, { 'req': 'initiatorLastUpdateBy' }, { 'req': 'transactionType' }, { 'req': 'numberOfCredits'} ]</v>
      </c>
      <c r="Y6" s="9" t="str">
        <f>IF(LEN(Table2[[#This Row],[!Unique]])&gt;0,IF(Table2[[#This Row],[!Type]] = "id", "rg:None","rg:True"),"rg:None")</f>
        <v>rg:None</v>
      </c>
    </row>
    <row r="7" spans="1:25" s="4" customFormat="1" x14ac:dyDescent="0.35">
      <c r="A7" s="49" t="s">
        <v>221</v>
      </c>
      <c r="B7" s="49" t="s">
        <v>8</v>
      </c>
      <c r="C7" s="3"/>
      <c r="D7" s="64" t="s">
        <v>271</v>
      </c>
      <c r="E7" s="5"/>
      <c r="F7" s="52" t="s">
        <v>0</v>
      </c>
      <c r="G7" s="51" t="s">
        <v>69</v>
      </c>
      <c r="H7" s="16"/>
      <c r="I7" s="4" t="str">
        <f>IF(LEN(A7) &gt; 0,"Defs","-")</f>
        <v>Defs</v>
      </c>
      <c r="J7" s="14" t="str">
        <f>IF(Table2[[#This Row],[!Type]]=J$1, J$1,"rg:None")</f>
        <v>rg:None</v>
      </c>
      <c r="K7" s="27" t="str">
        <f>IF(Table2[[#This Row],[!Type]]=K$1, K$1,"rg:None")</f>
        <v>rg:None</v>
      </c>
      <c r="L7" s="14" t="str">
        <f>IF(Table2[[#This Row],[!Type]]=L$1, L$1,"rg:None")</f>
        <v>rg:None</v>
      </c>
      <c r="M7" s="14" t="str">
        <f>IF(Table2[[#This Row],[!Type]]=M$1, M$1,"rg:None")</f>
        <v>rg:None</v>
      </c>
      <c r="N7" s="14" t="str">
        <f>IF(Table2[[#This Row],[!Type]]=N$1, N$1,"rg:None")</f>
        <v>rg:None</v>
      </c>
      <c r="O7" s="14"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4" t="str">
        <f>IF(LEN(Table2[[#This Row],[!Length]]) &gt; 0, Table2[[#This Row],[!Length]], "rg:None")</f>
        <v>rg:None</v>
      </c>
      <c r="U7" s="14" t="str">
        <f>IF(LEN(Table2[[#This Row],[!Name]]) &gt; 0, Table2[[#This Row],[!Name]], "rg:None")</f>
        <v>initiatorLastUpdateBy</v>
      </c>
      <c r="V7" s="14" t="str">
        <f>IF(LEN(Table2[[#This Row],[!Description]]) &gt; 0, Table2[[#This Row],[!Description]], "rg:None")</f>
        <v>rg:None</v>
      </c>
      <c r="W7" s="14" t="str">
        <f>IF(LEN(Table2[[#This Row],[!FK]])&gt;0,Table2[[#This Row],[!FK]],"rg:None")</f>
        <v>User</v>
      </c>
      <c r="X7" s="14" t="str">
        <f>IF(LEN(concatif2(A:A,Table2[[#This Row],[!Table]],G:G,"Y",D:D,",")) &gt; 0,"rg:[ { 'req' : '"&amp;concatif2(A:A,Table2[[#This Row],[!Table]],G:G,"Y",D:D,"' }, { 'req': '")&amp;"'} ]","rg:[]")</f>
        <v>rg:[ { 'req' : 'id' }, { 'req': 'respondent' }, { 'req': 'initiatorLastUpdateBy' }, { 'req': 'transactionType' }, { 'req': 'numberOfCredits'} ]</v>
      </c>
      <c r="Y7" s="14" t="str">
        <f>IF(LEN(Table2[[#This Row],[!Unique]])&gt;0,IF(Table2[[#This Row],[!Type]] = "id", "rg:None","rg:True"),"rg:None")</f>
        <v>rg:None</v>
      </c>
    </row>
    <row r="8" spans="1:25" s="4" customFormat="1" x14ac:dyDescent="0.35">
      <c r="A8" s="49" t="s">
        <v>221</v>
      </c>
      <c r="B8" s="49" t="s">
        <v>8</v>
      </c>
      <c r="C8" s="3"/>
      <c r="D8" s="64" t="s">
        <v>272</v>
      </c>
      <c r="E8" s="5"/>
      <c r="F8" s="52" t="s">
        <v>0</v>
      </c>
      <c r="G8" s="16"/>
      <c r="H8" s="16"/>
      <c r="I8" s="4" t="str">
        <f>IF(LEN(A8) &gt; 0,"Defs","-")</f>
        <v>Defs</v>
      </c>
      <c r="J8" s="14" t="str">
        <f>IF(Table2[[#This Row],[!Type]]=J$1, J$1,"rg:None")</f>
        <v>rg:None</v>
      </c>
      <c r="K8" s="27" t="str">
        <f>IF(Table2[[#This Row],[!Type]]=K$1, K$1,"rg:None")</f>
        <v>rg:None</v>
      </c>
      <c r="L8" s="14" t="str">
        <f>IF(Table2[[#This Row],[!Type]]=L$1, L$1,"rg:None")</f>
        <v>rg:None</v>
      </c>
      <c r="M8" s="14" t="str">
        <f>IF(Table2[[#This Row],[!Type]]=M$1, M$1,"rg:None")</f>
        <v>rg:None</v>
      </c>
      <c r="N8" s="14" t="str">
        <f>IF(Table2[[#This Row],[!Type]]=N$1, N$1,"rg:None")</f>
        <v>rg:None</v>
      </c>
      <c r="O8" s="1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4" t="str">
        <f>IF(LEN(Table2[[#This Row],[!Length]]) &gt; 0, Table2[[#This Row],[!Length]], "rg:None")</f>
        <v>rg:None</v>
      </c>
      <c r="U8" s="14" t="str">
        <f>IF(LEN(Table2[[#This Row],[!Name]]) &gt; 0, Table2[[#This Row],[!Name]], "rg:None")</f>
        <v>respondentLastUpdatedBy</v>
      </c>
      <c r="V8" s="14" t="str">
        <f>IF(LEN(Table2[[#This Row],[!Description]]) &gt; 0, Table2[[#This Row],[!Description]], "rg:None")</f>
        <v>rg:None</v>
      </c>
      <c r="W8" s="14" t="str">
        <f>IF(LEN(Table2[[#This Row],[!FK]])&gt;0,Table2[[#This Row],[!FK]],"rg:None")</f>
        <v>User</v>
      </c>
      <c r="X8" s="14" t="str">
        <f>IF(LEN(concatif2(A:A,Table2[[#This Row],[!Table]],G:G,"Y",D:D,",")) &gt; 0,"rg:[ { 'req' : '"&amp;concatif2(A:A,Table2[[#This Row],[!Table]],G:G,"Y",D:D,"' }, { 'req': '")&amp;"'} ]","rg:[]")</f>
        <v>rg:[ { 'req' : 'id' }, { 'req': 'respondent' }, { 'req': 'initiatorLastUpdateBy' }, { 'req': 'transactionType' }, { 'req': 'numberOfCredits'} ]</v>
      </c>
      <c r="Y8" s="14" t="str">
        <f>IF(LEN(Table2[[#This Row],[!Unique]])&gt;0,IF(Table2[[#This Row],[!Type]] = "id", "rg:None","rg:True"),"rg:None")</f>
        <v>rg:None</v>
      </c>
    </row>
    <row r="9" spans="1:25" s="4" customFormat="1" x14ac:dyDescent="0.35">
      <c r="A9" s="49" t="s">
        <v>221</v>
      </c>
      <c r="B9" s="49" t="s">
        <v>8</v>
      </c>
      <c r="C9" s="3"/>
      <c r="D9" s="49" t="s">
        <v>229</v>
      </c>
      <c r="E9" s="5"/>
      <c r="F9" s="52" t="s">
        <v>0</v>
      </c>
      <c r="G9" s="16"/>
      <c r="H9" s="16"/>
      <c r="I9" s="4" t="str">
        <f>IF(LEN(A9) &gt; 0,"Defs","-")</f>
        <v>Defs</v>
      </c>
      <c r="J9" s="14" t="str">
        <f>IF(Table2[[#This Row],[!Type]]=J$1, J$1,"rg:None")</f>
        <v>rg:None</v>
      </c>
      <c r="K9" s="27" t="str">
        <f>IF(Table2[[#This Row],[!Type]]=K$1, K$1,"rg:None")</f>
        <v>rg:None</v>
      </c>
      <c r="L9" s="14" t="str">
        <f>IF(Table2[[#This Row],[!Type]]=L$1, L$1,"rg:None")</f>
        <v>rg:None</v>
      </c>
      <c r="M9" s="14" t="str">
        <f>IF(Table2[[#This Row],[!Type]]=M$1, M$1,"rg:None")</f>
        <v>rg:None</v>
      </c>
      <c r="N9" s="14" t="str">
        <f>IF(Table2[[#This Row],[!Type]]=N$1, N$1,"rg:None")</f>
        <v>rg:None</v>
      </c>
      <c r="O9" s="1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14" t="str">
        <f>IF(LEN(Table2[[#This Row],[!Length]]) &gt; 0, Table2[[#This Row],[!Length]], "rg:None")</f>
        <v>rg:None</v>
      </c>
      <c r="U9" s="14" t="str">
        <f>IF(LEN(Table2[[#This Row],[!Name]]) &gt; 0, Table2[[#This Row],[!Name]], "rg:None")</f>
        <v>reviewedRejectedBy</v>
      </c>
      <c r="V9" s="14" t="str">
        <f>IF(LEN(Table2[[#This Row],[!Description]]) &gt; 0, Table2[[#This Row],[!Description]], "rg:None")</f>
        <v>rg:None</v>
      </c>
      <c r="W9" s="14" t="str">
        <f>IF(LEN(Table2[[#This Row],[!FK]])&gt;0,Table2[[#This Row],[!FK]],"rg:None")</f>
        <v>User</v>
      </c>
      <c r="X9" s="14" t="str">
        <f>IF(LEN(concatif2(A:A,Table2[[#This Row],[!Table]],G:G,"Y",D:D,",")) &gt; 0,"rg:[ { 'req' : '"&amp;concatif2(A:A,Table2[[#This Row],[!Table]],G:G,"Y",D:D,"' }, { 'req': '")&amp;"'} ]","rg:[]")</f>
        <v>rg:[ { 'req' : 'id' }, { 'req': 'respondent' }, { 'req': 'initiatorLastUpdateBy' }, { 'req': 'transactionType' }, { 'req': 'numberOfCredits'} ]</v>
      </c>
      <c r="Y9" s="14" t="str">
        <f>IF(LEN(Table2[[#This Row],[!Unique]])&gt;0,IF(Table2[[#This Row],[!Type]] = "id", "rg:None","rg:True"),"rg:None")</f>
        <v>rg:None</v>
      </c>
    </row>
    <row r="10" spans="1:25" s="4" customFormat="1" x14ac:dyDescent="0.35">
      <c r="A10" s="49" t="s">
        <v>221</v>
      </c>
      <c r="B10" s="49" t="s">
        <v>8</v>
      </c>
      <c r="C10" s="47"/>
      <c r="D10" s="49" t="s">
        <v>230</v>
      </c>
      <c r="E10" s="5"/>
      <c r="F10" s="52" t="s">
        <v>0</v>
      </c>
      <c r="G10" s="16"/>
      <c r="H10" s="16"/>
      <c r="I10" s="4" t="str">
        <f>IF(LEN(A10) &gt; 0,"Defs","-")</f>
        <v>Defs</v>
      </c>
      <c r="J10" s="14" t="str">
        <f>IF(Table2[[#This Row],[!Type]]=J$1, J$1,"rg:None")</f>
        <v>rg:None</v>
      </c>
      <c r="K10" s="27" t="str">
        <f>IF(Table2[[#This Row],[!Type]]=K$1, K$1,"rg:None")</f>
        <v>rg:None</v>
      </c>
      <c r="L10" s="14" t="str">
        <f>IF(Table2[[#This Row],[!Type]]=L$1, L$1,"rg:None")</f>
        <v>rg:None</v>
      </c>
      <c r="M10" s="14" t="str">
        <f>IF(Table2[[#This Row],[!Type]]=M$1, M$1,"rg:None")</f>
        <v>rg:None</v>
      </c>
      <c r="N10" s="14" t="str">
        <f>IF(Table2[[#This Row],[!Type]]=N$1, N$1,"rg:None")</f>
        <v>rg:None</v>
      </c>
      <c r="O10" s="1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4" t="str">
        <f>IF(LEN(Table2[[#This Row],[!Length]]) &gt; 0, Table2[[#This Row],[!Length]], "rg:None")</f>
        <v>rg:None</v>
      </c>
      <c r="U10" s="14" t="str">
        <f>IF(LEN(Table2[[#This Row],[!Name]]) &gt; 0, Table2[[#This Row],[!Name]], "rg:None")</f>
        <v>approvedRejectedBy</v>
      </c>
      <c r="V10" s="14" t="str">
        <f>IF(LEN(Table2[[#This Row],[!Description]]) &gt; 0, Table2[[#This Row],[!Description]], "rg:None")</f>
        <v>rg:None</v>
      </c>
      <c r="W10" s="14" t="str">
        <f>IF(LEN(Table2[[#This Row],[!FK]])&gt;0,Table2[[#This Row],[!FK]],"rg:None")</f>
        <v>User</v>
      </c>
      <c r="X10" s="14" t="str">
        <f>IF(LEN(concatif2(A:A,Table2[[#This Row],[!Table]],G:G,"Y",D:D,",")) &gt; 0,"rg:[ { 'req' : '"&amp;concatif2(A:A,Table2[[#This Row],[!Table]],G:G,"Y",D:D,"' }, { 'req': '")&amp;"'} ]","rg:[]")</f>
        <v>rg:[ { 'req' : 'id' }, { 'req': 'respondent' }, { 'req': 'initiatorLastUpdateBy' }, { 'req': 'transactionType' }, { 'req': 'numberOfCredits'} ]</v>
      </c>
      <c r="Y10" s="14" t="str">
        <f>IF(LEN(Table2[[#This Row],[!Unique]])&gt;0,IF(Table2[[#This Row],[!Type]] = "id", "rg:None","rg:True"),"rg:None")</f>
        <v>rg:None</v>
      </c>
    </row>
    <row r="11" spans="1:25" s="4" customFormat="1" x14ac:dyDescent="0.35">
      <c r="A11" s="49" t="s">
        <v>221</v>
      </c>
      <c r="B11" s="49" t="s">
        <v>8</v>
      </c>
      <c r="C11" s="47"/>
      <c r="D11" s="49" t="s">
        <v>231</v>
      </c>
      <c r="E11" s="5"/>
      <c r="F11" s="52" t="s">
        <v>0</v>
      </c>
      <c r="G11" s="16"/>
      <c r="H11" s="16"/>
      <c r="I11" s="4" t="str">
        <f>IF(LEN(A11) &gt; 0,"Defs","-")</f>
        <v>Defs</v>
      </c>
      <c r="J11" s="14" t="str">
        <f>IF(Table2[[#This Row],[!Type]]=J$1, J$1,"rg:None")</f>
        <v>rg:None</v>
      </c>
      <c r="K11" s="27" t="str">
        <f>IF(Table2[[#This Row],[!Type]]=K$1, K$1,"rg:None")</f>
        <v>rg:None</v>
      </c>
      <c r="L11" s="14" t="str">
        <f>IF(Table2[[#This Row],[!Type]]=L$1, L$1,"rg:None")</f>
        <v>rg:None</v>
      </c>
      <c r="M11" s="14" t="str">
        <f>IF(Table2[[#This Row],[!Type]]=M$1, M$1,"rg:None")</f>
        <v>rg:None</v>
      </c>
      <c r="N11" s="14" t="str">
        <f>IF(Table2[[#This Row],[!Type]]=N$1, N$1,"rg:None")</f>
        <v>rg:None</v>
      </c>
      <c r="O11" s="1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4" t="str">
        <f>IF(LEN(Table2[[#This Row],[!Length]]) &gt; 0, Table2[[#This Row],[!Length]], "rg:None")</f>
        <v>rg:None</v>
      </c>
      <c r="U11" s="14" t="str">
        <f>IF(LEN(Table2[[#This Row],[!Name]]) &gt; 0, Table2[[#This Row],[!Name]], "rg:None")</f>
        <v>cancelledBy</v>
      </c>
      <c r="V11" s="14" t="str">
        <f>IF(LEN(Table2[[#This Row],[!Description]]) &gt; 0, Table2[[#This Row],[!Description]], "rg:None")</f>
        <v>rg:None</v>
      </c>
      <c r="W11" s="14" t="str">
        <f>IF(LEN(Table2[[#This Row],[!FK]])&gt;0,Table2[[#This Row],[!FK]],"rg:None")</f>
        <v>User</v>
      </c>
      <c r="X11" s="14" t="str">
        <f>IF(LEN(concatif2(A:A,Table2[[#This Row],[!Table]],G:G,"Y",D:D,",")) &gt; 0,"rg:[ { 'req' : '"&amp;concatif2(A:A,Table2[[#This Row],[!Table]],G:G,"Y",D:D,"' }, { 'req': '")&amp;"'} ]","rg:[]")</f>
        <v>rg:[ { 'req' : 'id' }, { 'req': 'respondent' }, { 'req': 'initiatorLastUpdateBy' }, { 'req': 'transactionType' }, { 'req': 'numberOfCredits'} ]</v>
      </c>
      <c r="Y11" s="14" t="str">
        <f>IF(LEN(Table2[[#This Row],[!Unique]])&gt;0,IF(Table2[[#This Row],[!Type]] = "id", "rg:None","rg:True"),"rg:None")</f>
        <v>rg:None</v>
      </c>
    </row>
    <row r="12" spans="1:25" s="4" customFormat="1" x14ac:dyDescent="0.35">
      <c r="A12" s="47" t="s">
        <v>221</v>
      </c>
      <c r="B12" s="47" t="s">
        <v>11</v>
      </c>
      <c r="C12" s="3"/>
      <c r="D12" s="47" t="s">
        <v>223</v>
      </c>
      <c r="E12" s="23"/>
      <c r="F12" s="3" t="s">
        <v>5</v>
      </c>
      <c r="H12" s="32"/>
      <c r="I12" s="5" t="str">
        <f t="shared" si="0"/>
        <v>Defs</v>
      </c>
      <c r="J12" t="str">
        <f>IF(Table2[[#This Row],[!Type]]=J$1, J$1,"rg:None")</f>
        <v>rg:None</v>
      </c>
      <c r="K12" t="str">
        <f>IF(Table2[[#This Row],[!Type]]=K$1, K$1,"rg:None")</f>
        <v>rg:None</v>
      </c>
      <c r="L12" t="str">
        <f>IF(Table2[[#This Row],[!Type]]=L$1, L$1,"rg:None")</f>
        <v>datetime</v>
      </c>
      <c r="M12" t="str">
        <f>IF(Table2[[#This Row],[!Type]]=M$1, M$1,"rg:None")</f>
        <v>rg:None</v>
      </c>
      <c r="N12" s="9" t="str">
        <f>IF(Table2[[#This Row],[!Type]]=N$1, N$1,"rg:None")</f>
        <v>rg:None</v>
      </c>
      <c r="O12" s="9"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rg:None</v>
      </c>
      <c r="T12" s="9" t="str">
        <f>IF(LEN(Table2[[#This Row],[!Length]]) &gt; 0, Table2[[#This Row],[!Length]], "rg:None")</f>
        <v>rg:None</v>
      </c>
      <c r="U12" s="9" t="str">
        <f>IF(LEN(Table2[[#This Row],[!Name]]) &gt; 0, Table2[[#This Row],[!Name]], "rg:None")</f>
        <v>tradeExecutionDate</v>
      </c>
      <c r="V12" s="9" t="str">
        <f>IF(LEN(Table2[[#This Row],[!Description]]) &gt; 0, Table2[[#This Row],[!Description]], "rg:None")</f>
        <v>rg:None</v>
      </c>
      <c r="W12" s="9" t="str">
        <f>IF(LEN(Table2[[#This Row],[!FK]])&gt;0,Table2[[#This Row],[!FK]],"rg:None")</f>
        <v>rg:None</v>
      </c>
      <c r="X12" s="9" t="str">
        <f>IF(LEN(concatif2(A:A,Table2[[#This Row],[!Table]],G:G,"Y",D:D,",")) &gt; 0,"rg:[ { 'req' : '"&amp;concatif2(A:A,Table2[[#This Row],[!Table]],G:G,"Y",D:D,"' }, { 'req': '")&amp;"'} ]","rg:[]")</f>
        <v>rg:[ { 'req' : 'id' }, { 'req': 'respondent' }, { 'req': 'initiatorLastUpdateBy' }, { 'req': 'transactionType' }, { 'req': 'numberOfCredits'} ]</v>
      </c>
      <c r="Y12" s="9" t="str">
        <f>IF(LEN(Table2[[#This Row],[!Unique]])&gt;0,IF(Table2[[#This Row],[!Type]] = "id", "rg:None","rg:True"),"rg:None")</f>
        <v>rg:None</v>
      </c>
    </row>
    <row r="13" spans="1:25" s="4" customFormat="1" x14ac:dyDescent="0.35">
      <c r="A13" s="47" t="s">
        <v>221</v>
      </c>
      <c r="B13" s="49" t="s">
        <v>7</v>
      </c>
      <c r="C13" s="3"/>
      <c r="D13" s="49" t="s">
        <v>224</v>
      </c>
      <c r="E13" s="23"/>
      <c r="F13" s="6"/>
      <c r="G13" s="51" t="s">
        <v>69</v>
      </c>
      <c r="H13" s="16"/>
      <c r="I13" s="4" t="str">
        <f>IF(LEN(A13) &gt; 0,"Defs","-")</f>
        <v>Defs</v>
      </c>
      <c r="J13" s="14" t="str">
        <f>IF(Table2[[#This Row],[!Type]]=J$1, J$1,"rg:None")</f>
        <v>rg:None</v>
      </c>
      <c r="K13" s="27" t="str">
        <f>IF(Table2[[#This Row],[!Type]]=K$1, K$1,"rg:None")</f>
        <v>rg:None</v>
      </c>
      <c r="L13" s="14" t="str">
        <f>IF(Table2[[#This Row],[!Type]]=L$1, L$1,"rg:None")</f>
        <v>rg:None</v>
      </c>
      <c r="M13" s="14" t="str">
        <f>IF(Table2[[#This Row],[!Type]]=M$1, M$1,"rg:None")</f>
        <v>rg:None</v>
      </c>
      <c r="N13" s="14" t="str">
        <f>IF(Table2[[#This Row],[!Type]]=N$1, N$1,"rg:None")</f>
        <v>rg:None</v>
      </c>
      <c r="O13" s="14" t="str">
        <f>IF(Table2[[#This Row],[!Type]]=O$1, O$1,"rg:None")</f>
        <v>rg:None</v>
      </c>
      <c r="P13" s="4" t="str">
        <f>IF(Table2[[#This Row],[!Type]]=P$1, P$1,"rg:None")</f>
        <v>rg:None</v>
      </c>
      <c r="Q13" s="4" t="str">
        <f>IF(Table2[[#This Row],[!Type]]=Q$1, Q$1,"rg:None")</f>
        <v>rg:None</v>
      </c>
      <c r="R13" s="4" t="str">
        <f>IF(Table2[[#This Row],[!Type]]=R$1, R$1,"rg:None")</f>
        <v>string</v>
      </c>
      <c r="S13" s="4" t="str">
        <f>IF(Table2[[#This Row],[!Type]]=S$1, S$1,"rg:None")</f>
        <v>rg:None</v>
      </c>
      <c r="T13" s="14" t="str">
        <f>IF(LEN(Table2[[#This Row],[!Length]]) &gt; 0, Table2[[#This Row],[!Length]], "rg:None")</f>
        <v>rg:None</v>
      </c>
      <c r="U13" s="14" t="str">
        <f>IF(LEN(Table2[[#This Row],[!Name]]) &gt; 0, Table2[[#This Row],[!Name]], "rg:None")</f>
        <v>transactionType</v>
      </c>
      <c r="V13" s="14" t="str">
        <f>IF(LEN(Table2[[#This Row],[!Description]]) &gt; 0, Table2[[#This Row],[!Description]], "rg:None")</f>
        <v>rg:None</v>
      </c>
      <c r="W13" s="14" t="str">
        <f>IF(LEN(Table2[[#This Row],[!FK]])&gt;0,Table2[[#This Row],[!FK]],"rg:None")</f>
        <v>rg:None</v>
      </c>
      <c r="X13" s="14" t="str">
        <f>IF(LEN(concatif2(A:A,Table2[[#This Row],[!Table]],G:G,"Y",D:D,",")) &gt; 0,"rg:[ { 'req' : '"&amp;concatif2(A:A,Table2[[#This Row],[!Table]],G:G,"Y",D:D,"' }, { 'req': '")&amp;"'} ]","rg:[]")</f>
        <v>rg:[ { 'req' : 'id' }, { 'req': 'respondent' }, { 'req': 'initiatorLastUpdateBy' }, { 'req': 'transactionType' }, { 'req': 'numberOfCredits'} ]</v>
      </c>
      <c r="Y13" s="14" t="str">
        <f>IF(LEN(Table2[[#This Row],[!Unique]])&gt;0,IF(Table2[[#This Row],[!Type]] = "id", "rg:None","rg:True"),"rg:None")</f>
        <v>rg:None</v>
      </c>
    </row>
    <row r="14" spans="1:25" s="4" customFormat="1" x14ac:dyDescent="0.35">
      <c r="A14" s="47" t="s">
        <v>221</v>
      </c>
      <c r="B14" s="47" t="s">
        <v>12</v>
      </c>
      <c r="C14" s="3"/>
      <c r="D14" s="47" t="s">
        <v>225</v>
      </c>
      <c r="E14" s="23"/>
      <c r="F14" s="3" t="s">
        <v>5</v>
      </c>
      <c r="G14" s="32" t="s">
        <v>69</v>
      </c>
      <c r="I14" s="5" t="str">
        <f t="shared" si="0"/>
        <v>Defs</v>
      </c>
      <c r="J14" t="str">
        <f>IF(Table2[[#This Row],[!Type]]=J$1, J$1,"rg:None")</f>
        <v>rg:None</v>
      </c>
      <c r="K14" t="str">
        <f>IF(Table2[[#This Row],[!Type]]=K$1, K$1,"rg:None")</f>
        <v>rg:None</v>
      </c>
      <c r="L14" t="str">
        <f>IF(Table2[[#This Row],[!Type]]=L$1, L$1,"rg:None")</f>
        <v>rg:None</v>
      </c>
      <c r="M14" t="str">
        <f>IF(Table2[[#This Row],[!Type]]=M$1, M$1,"rg:None")</f>
        <v>rg:None</v>
      </c>
      <c r="N14" s="9" t="str">
        <f>IF(Table2[[#This Row],[!Type]]=N$1, N$1,"rg:None")</f>
        <v>integer</v>
      </c>
      <c r="O14" s="9"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9" t="str">
        <f>IF(LEN(Table2[[#This Row],[!Length]]) &gt; 0, Table2[[#This Row],[!Length]], "rg:None")</f>
        <v>rg:None</v>
      </c>
      <c r="U14" s="9" t="str">
        <f>IF(LEN(Table2[[#This Row],[!Name]]) &gt; 0, Table2[[#This Row],[!Name]], "rg:None")</f>
        <v>numberOfCredits</v>
      </c>
      <c r="V14" s="9" t="str">
        <f>IF(LEN(Table2[[#This Row],[!Description]]) &gt; 0, Table2[[#This Row],[!Description]], "rg:None")</f>
        <v>rg:None</v>
      </c>
      <c r="W14" s="9" t="str">
        <f>IF(LEN(Table2[[#This Row],[!FK]])&gt;0,Table2[[#This Row],[!FK]],"rg:None")</f>
        <v>rg:None</v>
      </c>
      <c r="X14" s="9" t="str">
        <f>IF(LEN(concatif2(A:A,Table2[[#This Row],[!Table]],G:G,"Y",D:D,",")) &gt; 0,"rg:[ { 'req' : '"&amp;concatif2(A:A,Table2[[#This Row],[!Table]],G:G,"Y",D:D,"' }, { 'req': '")&amp;"'} ]","rg:[]")</f>
        <v>rg:[ { 'req' : 'id' }, { 'req': 'respondent' }, { 'req': 'initiatorLastUpdateBy' }, { 'req': 'transactionType' }, { 'req': 'numberOfCredits'} ]</v>
      </c>
      <c r="Y14" s="9" t="str">
        <f>IF(LEN(Table2[[#This Row],[!Unique]])&gt;0,IF(Table2[[#This Row],[!Type]] = "id", "rg:None","rg:True"),"rg:None")</f>
        <v>rg:None</v>
      </c>
    </row>
    <row r="15" spans="1:25" s="4" customFormat="1" x14ac:dyDescent="0.35">
      <c r="A15" s="47" t="s">
        <v>221</v>
      </c>
      <c r="B15" s="47" t="s">
        <v>128</v>
      </c>
      <c r="C15" s="3"/>
      <c r="D15" s="47" t="s">
        <v>226</v>
      </c>
      <c r="E15" s="23"/>
      <c r="F15" s="3" t="s">
        <v>5</v>
      </c>
      <c r="G15" s="50"/>
      <c r="I15" s="5" t="str">
        <f t="shared" si="0"/>
        <v>Defs</v>
      </c>
      <c r="J15" t="str">
        <f>IF(Table2[[#This Row],[!Type]]=J$1, J$1,"rg:None")</f>
        <v>rg:None</v>
      </c>
      <c r="K15" t="str">
        <f>IF(Table2[[#This Row],[!Type]]=K$1, K$1,"rg:None")</f>
        <v>rg:None</v>
      </c>
      <c r="L15" t="str">
        <f>IF(Table2[[#This Row],[!Type]]=L$1, L$1,"rg:None")</f>
        <v>rg:None</v>
      </c>
      <c r="M15" t="str">
        <f>IF(Table2[[#This Row],[!Type]]=M$1, M$1,"rg:None")</f>
        <v>rg:None</v>
      </c>
      <c r="N15" s="9" t="str">
        <f>IF(Table2[[#This Row],[!Type]]=N$1, N$1,"rg:None")</f>
        <v>rg:None</v>
      </c>
      <c r="O15" s="9" t="str">
        <f>IF(Table2[[#This Row],[!Type]]=O$1, O$1,"rg:None")</f>
        <v>float</v>
      </c>
      <c r="P15" s="5" t="str">
        <f>IF(Table2[[#This Row],[!Type]]=P$1, P$1,"rg:None")</f>
        <v>rg:None</v>
      </c>
      <c r="Q15" s="5" t="str">
        <f>IF(Table2[[#This Row],[!Type]]=Q$1, Q$1,"rg:None")</f>
        <v>rg:None</v>
      </c>
      <c r="R15" s="5" t="str">
        <f>IF(Table2[[#This Row],[!Type]]=R$1, R$1,"rg:None")</f>
        <v>rg:None</v>
      </c>
      <c r="S15" s="5" t="str">
        <f>IF(Table2[[#This Row],[!Type]]=S$1, S$1,"rg:None")</f>
        <v>rg:None</v>
      </c>
      <c r="T15" s="9" t="str">
        <f>IF(LEN(Table2[[#This Row],[!Length]]) &gt; 0, Table2[[#This Row],[!Length]], "rg:None")</f>
        <v>rg:None</v>
      </c>
      <c r="U15" s="9" t="str">
        <f>IF(LEN(Table2[[#This Row],[!Name]]) &gt; 0, Table2[[#This Row],[!Name]], "rg:None")</f>
        <v>fairMarketValuePrice</v>
      </c>
      <c r="V15" s="9" t="str">
        <f>IF(LEN(Table2[[#This Row],[!Description]]) &gt; 0, Table2[[#This Row],[!Description]], "rg:None")</f>
        <v>rg:None</v>
      </c>
      <c r="W15" s="9" t="str">
        <f>IF(LEN(Table2[[#This Row],[!FK]])&gt;0,Table2[[#This Row],[!FK]],"rg:None")</f>
        <v>rg:None</v>
      </c>
      <c r="X15" s="9" t="str">
        <f>IF(LEN(concatif2(A:A,Table2[[#This Row],[!Table]],G:G,"Y",D:D,",")) &gt; 0,"rg:[ { 'req' : '"&amp;concatif2(A:A,Table2[[#This Row],[!Table]],G:G,"Y",D:D,"' }, { 'req': '")&amp;"'} ]","rg:[]")</f>
        <v>rg:[ { 'req' : 'id' }, { 'req': 'respondent' }, { 'req': 'initiatorLastUpdateBy' }, { 'req': 'transactionType' }, { 'req': 'numberOfCredits'} ]</v>
      </c>
      <c r="Y15" s="9" t="str">
        <f>IF(LEN(Table2[[#This Row],[!Unique]])&gt;0,IF(Table2[[#This Row],[!Type]] = "id", "rg:None","rg:True"),"rg:None")</f>
        <v>rg:None</v>
      </c>
    </row>
    <row r="16" spans="1:25" s="4" customFormat="1" x14ac:dyDescent="0.35">
      <c r="A16" s="64" t="s">
        <v>221</v>
      </c>
      <c r="B16" s="64" t="s">
        <v>8</v>
      </c>
      <c r="C16" s="3"/>
      <c r="D16" s="64" t="s">
        <v>267</v>
      </c>
      <c r="E16" s="5"/>
      <c r="F16" s="66" t="s">
        <v>263</v>
      </c>
      <c r="G16" s="16"/>
      <c r="H16" s="16"/>
      <c r="I16" s="4" t="str">
        <f>IF(LEN(A16) &gt; 0,"Defs","-")</f>
        <v>Defs</v>
      </c>
      <c r="J16" s="14" t="str">
        <f>IF(Table2[[#This Row],[!Type]]=J$1, J$1,"rg:None")</f>
        <v>rg:None</v>
      </c>
      <c r="K16" s="27" t="str">
        <f>IF(Table2[[#This Row],[!Type]]=K$1, K$1,"rg:None")</f>
        <v>rg:None</v>
      </c>
      <c r="L16" s="14" t="str">
        <f>IF(Table2[[#This Row],[!Type]]=L$1, L$1,"rg:None")</f>
        <v>rg:None</v>
      </c>
      <c r="M16" s="14" t="str">
        <f>IF(Table2[[#This Row],[!Type]]=M$1, M$1,"rg:None")</f>
        <v>rg:None</v>
      </c>
      <c r="N16" s="14" t="str">
        <f>IF(Table2[[#This Row],[!Type]]=N$1, N$1,"rg:None")</f>
        <v>rg:None</v>
      </c>
      <c r="O16" s="1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14" t="str">
        <f>IF(LEN(Table2[[#This Row],[!Length]]) &gt; 0, Table2[[#This Row],[!Length]], "rg:None")</f>
        <v>rg:None</v>
      </c>
      <c r="U16" s="14" t="str">
        <f>IF(LEN(Table2[[#This Row],[!Name]]) &gt; 0, Table2[[#This Row],[!Name]], "rg:None")</f>
        <v>offer</v>
      </c>
      <c r="V16" s="14" t="str">
        <f>IF(LEN(Table2[[#This Row],[!Description]]) &gt; 0, Table2[[#This Row],[!Description]], "rg:None")</f>
        <v>rg:None</v>
      </c>
      <c r="W16" s="14" t="str">
        <f>IF(LEN(Table2[[#This Row],[!FK]])&gt;0,Table2[[#This Row],[!FK]],"rg:None")</f>
        <v>Offer</v>
      </c>
      <c r="X16" s="14" t="str">
        <f>IF(LEN(concatif2(A:A,Table2[[#This Row],[!Table]],G:G,"Y",D:D,",")) &gt; 0,"rg:[ { 'req' : '"&amp;concatif2(A:A,Table2[[#This Row],[!Table]],G:G,"Y",D:D,"' }, { 'req': '")&amp;"'} ]","rg:[]")</f>
        <v>rg:[ { 'req' : 'id' }, { 'req': 'respondent' }, { 'req': 'initiatorLastUpdateBy' }, { 'req': 'transactionType' }, { 'req': 'numberOfCredits'} ]</v>
      </c>
      <c r="Y16" s="14" t="str">
        <f>IF(LEN(Table2[[#This Row],[!Unique]])&gt;0,IF(Table2[[#This Row],[!Type]] = "id", "rg:None","rg:True"),"rg:None")</f>
        <v>rg:None</v>
      </c>
    </row>
    <row r="17" spans="1:25" s="4" customFormat="1" x14ac:dyDescent="0.35">
      <c r="A17" s="47" t="s">
        <v>221</v>
      </c>
      <c r="B17" s="49" t="s">
        <v>11</v>
      </c>
      <c r="C17" s="3"/>
      <c r="D17" s="64" t="s">
        <v>273</v>
      </c>
      <c r="E17" s="23"/>
      <c r="F17" s="35"/>
      <c r="G17" s="16"/>
      <c r="H17" s="16"/>
      <c r="I17" s="4" t="str">
        <f>IF(LEN(A17) &gt; 0,"Defs","-")</f>
        <v>Defs</v>
      </c>
      <c r="J17" s="14" t="str">
        <f>IF(Table2[[#This Row],[!Type]]=J$1, J$1,"rg:None")</f>
        <v>rg:None</v>
      </c>
      <c r="K17" s="27" t="str">
        <f>IF(Table2[[#This Row],[!Type]]=K$1, K$1,"rg:None")</f>
        <v>rg:None</v>
      </c>
      <c r="L17" s="14" t="str">
        <f>IF(Table2[[#This Row],[!Type]]=L$1, L$1,"rg:None")</f>
        <v>datetime</v>
      </c>
      <c r="M17" s="14" t="str">
        <f>IF(Table2[[#This Row],[!Type]]=M$1, M$1,"rg:None")</f>
        <v>rg:None</v>
      </c>
      <c r="N17" s="14" t="str">
        <f>IF(Table2[[#This Row],[!Type]]=N$1, N$1,"rg:None")</f>
        <v>rg:None</v>
      </c>
      <c r="O17" s="1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14" t="str">
        <f>IF(LEN(Table2[[#This Row],[!Length]]) &gt; 0, Table2[[#This Row],[!Length]], "rg:None")</f>
        <v>rg:None</v>
      </c>
      <c r="U17" s="14" t="str">
        <f>IF(LEN(Table2[[#This Row],[!Name]]) &gt; 0, Table2[[#This Row],[!Name]], "rg:None")</f>
        <v>fuelSupplierBalanceBeforeTransaction</v>
      </c>
      <c r="V17" s="14" t="str">
        <f>IF(LEN(Table2[[#This Row],[!Description]]) &gt; 0, Table2[[#This Row],[!Description]], "rg:None")</f>
        <v>rg:None</v>
      </c>
      <c r="W17" s="14" t="str">
        <f>IF(LEN(Table2[[#This Row],[!FK]])&gt;0,Table2[[#This Row],[!FK]],"rg:None")</f>
        <v>rg:None</v>
      </c>
      <c r="X17" s="14" t="str">
        <f>IF(LEN(concatif2(A:A,Table2[[#This Row],[!Table]],G:G,"Y",D:D,",")) &gt; 0,"rg:[ { 'req' : '"&amp;concatif2(A:A,Table2[[#This Row],[!Table]],G:G,"Y",D:D,"' }, { 'req': '")&amp;"'} ]","rg:[]")</f>
        <v>rg:[ { 'req' : 'id' }, { 'req': 'respondent' }, { 'req': 'initiatorLastUpdateBy' }, { 'req': 'transactionType' }, { 'req': 'numberOfCredits'} ]</v>
      </c>
      <c r="Y17" s="14" t="str">
        <f>IF(LEN(Table2[[#This Row],[!Unique]])&gt;0,IF(Table2[[#This Row],[!Type]] = "id", "rg:None","rg:True"),"rg:None")</f>
        <v>rg:None</v>
      </c>
    </row>
    <row r="18" spans="1:25" s="4" customFormat="1" x14ac:dyDescent="0.3">
      <c r="A18" s="47" t="s">
        <v>221</v>
      </c>
      <c r="B18" s="21" t="s">
        <v>27</v>
      </c>
      <c r="C18" s="3"/>
      <c r="D18" s="21" t="s">
        <v>26</v>
      </c>
      <c r="E18" s="23"/>
      <c r="F18" s="22" t="s">
        <v>111</v>
      </c>
      <c r="G18" s="16"/>
      <c r="H18" s="16"/>
      <c r="I18" s="4" t="str">
        <f t="shared" ref="I18:I20" si="1">IF(LEN(A18) &gt; 0,"Defs","-")</f>
        <v>Defs</v>
      </c>
      <c r="J18" s="14" t="str">
        <f>IF(Table2[[#This Row],[!Type]]=J$1, J$1,"rg:None")</f>
        <v>rg:None</v>
      </c>
      <c r="K18" s="14" t="str">
        <f>IF(Table2[[#This Row],[!Type]]=K$1, K$1,"rg:None")</f>
        <v>rg:None</v>
      </c>
      <c r="L18" s="14" t="str">
        <f>IF(Table2[[#This Row],[!Type]]=L$1, L$1,"rg:None")</f>
        <v>rg:None</v>
      </c>
      <c r="M18" s="14" t="str">
        <f>IF(Table2[[#This Row],[!Type]]=M$1, M$1,"rg:None")</f>
        <v>rg:None</v>
      </c>
      <c r="N18" s="14" t="str">
        <f>IF(Table2[[#This Row],[!Type]]=N$1, N$1,"rg:None")</f>
        <v>rg:None</v>
      </c>
      <c r="O18" s="14" t="str">
        <f>IF(Table2[[#This Row],[!Type]]=O$1, O$1,"rg:None")</f>
        <v>rg:None</v>
      </c>
      <c r="P18" s="4" t="str">
        <f>IF(Table2[[#This Row],[!Type]]=P$1, P$1,"rg:None")</f>
        <v>links</v>
      </c>
      <c r="Q18" s="4" t="str">
        <f>IF(Table2[[#This Row],[!Type]]=Q$1, Q$1,"rg:None")</f>
        <v>rg:None</v>
      </c>
      <c r="R18" s="4" t="str">
        <f>IF(Table2[[#This Row],[!Type]]=R$1, R$1,"rg:None")</f>
        <v>rg:None</v>
      </c>
      <c r="S18" s="4" t="str">
        <f>IF(Table2[[#This Row],[!Type]]=S$1, S$1,"rg:None")</f>
        <v>rg:None</v>
      </c>
      <c r="T18" s="14" t="str">
        <f>IF(LEN(Table2[[#This Row],[!Length]]) &gt; 0, Table2[[#This Row],[!Length]], "rg:None")</f>
        <v>rg:None</v>
      </c>
      <c r="U18" s="14" t="str">
        <f>IF(LEN(Table2[[#This Row],[!Name]]) &gt; 0, Table2[[#This Row],[!Name]], "rg:None")</f>
        <v>notes</v>
      </c>
      <c r="V18" s="14" t="str">
        <f>IF(LEN(Table2[[#This Row],[!Description]]) &gt; 0, Table2[[#This Row],[!Description]], "rg:None")</f>
        <v>rg:None</v>
      </c>
      <c r="W18" s="14" t="str">
        <f>IF(LEN(Table2[[#This Row],[!FK]])&gt;0,Table2[[#This Row],[!FK]],"rg:None")</f>
        <v>Note</v>
      </c>
      <c r="X18" s="14" t="str">
        <f>IF(LEN(concatif2(A:A,Table2[[#This Row],[!Table]],G:G,"Y",D:D,",")) &gt; 0,"rg:[ { 'req' : '"&amp;concatif2(A:A,Table2[[#This Row],[!Table]],G:G,"Y",D:D,"' }, { 'req': '")&amp;"'} ]","rg:[]")</f>
        <v>rg:[ { 'req' : 'id' }, { 'req': 'respondent' }, { 'req': 'initiatorLastUpdateBy' }, { 'req': 'transactionType' }, { 'req': 'numberOfCredits'} ]</v>
      </c>
      <c r="Y18" s="14" t="str">
        <f>IF(LEN(Table2[[#This Row],[!Unique]])&gt;0,IF(Table2[[#This Row],[!Type]] = "id", "rg:None","rg:True"),"rg:None")</f>
        <v>rg:None</v>
      </c>
    </row>
    <row r="19" spans="1:25" s="4" customFormat="1" x14ac:dyDescent="0.3">
      <c r="A19" s="47" t="s">
        <v>221</v>
      </c>
      <c r="B19" s="21" t="s">
        <v>27</v>
      </c>
      <c r="C19" s="3"/>
      <c r="D19" s="21" t="s">
        <v>112</v>
      </c>
      <c r="E19" s="23"/>
      <c r="F19" s="22" t="s">
        <v>113</v>
      </c>
      <c r="G19" s="16"/>
      <c r="H19" s="16"/>
      <c r="I19" s="4" t="str">
        <f t="shared" si="1"/>
        <v>Defs</v>
      </c>
      <c r="J19" s="14" t="str">
        <f>IF(Table2[[#This Row],[!Type]]=J$1, J$1,"rg:None")</f>
        <v>rg:None</v>
      </c>
      <c r="K19" s="14" t="str">
        <f>IF(Table2[[#This Row],[!Type]]=K$1, K$1,"rg:None")</f>
        <v>rg:None</v>
      </c>
      <c r="L19" s="14" t="str">
        <f>IF(Table2[[#This Row],[!Type]]=L$1, L$1,"rg:None")</f>
        <v>rg:None</v>
      </c>
      <c r="M19" s="14" t="str">
        <f>IF(Table2[[#This Row],[!Type]]=M$1, M$1,"rg:None")</f>
        <v>rg:None</v>
      </c>
      <c r="N19" s="14" t="str">
        <f>IF(Table2[[#This Row],[!Type]]=N$1, N$1,"rg:None")</f>
        <v>rg:None</v>
      </c>
      <c r="O19" s="14" t="str">
        <f>IF(Table2[[#This Row],[!Type]]=O$1, O$1,"rg:None")</f>
        <v>rg:None</v>
      </c>
      <c r="P19" s="4" t="str">
        <f>IF(Table2[[#This Row],[!Type]]=P$1, P$1,"rg:None")</f>
        <v>links</v>
      </c>
      <c r="Q19" s="4" t="str">
        <f>IF(Table2[[#This Row],[!Type]]=Q$1, Q$1,"rg:None")</f>
        <v>rg:None</v>
      </c>
      <c r="R19" s="4" t="str">
        <f>IF(Table2[[#This Row],[!Type]]=R$1, R$1,"rg:None")</f>
        <v>rg:None</v>
      </c>
      <c r="S19" s="4" t="str">
        <f>IF(Table2[[#This Row],[!Type]]=S$1, S$1,"rg:None")</f>
        <v>rg:None</v>
      </c>
      <c r="T19" s="14" t="str">
        <f>IF(LEN(Table2[[#This Row],[!Length]]) &gt; 0, Table2[[#This Row],[!Length]], "rg:None")</f>
        <v>rg:None</v>
      </c>
      <c r="U19" s="14" t="str">
        <f>IF(LEN(Table2[[#This Row],[!Name]]) &gt; 0, Table2[[#This Row],[!Name]], "rg:None")</f>
        <v>attachments</v>
      </c>
      <c r="V19" s="14" t="str">
        <f>IF(LEN(Table2[[#This Row],[!Description]]) &gt; 0, Table2[[#This Row],[!Description]], "rg:None")</f>
        <v>rg:None</v>
      </c>
      <c r="W19" s="14" t="str">
        <f>IF(LEN(Table2[[#This Row],[!FK]])&gt;0,Table2[[#This Row],[!FK]],"rg:None")</f>
        <v>Attachment</v>
      </c>
      <c r="X19" s="14" t="str">
        <f>IF(LEN(concatif2(A:A,Table2[[#This Row],[!Table]],G:G,"Y",D:D,",")) &gt; 0,"rg:[ { 'req' : '"&amp;concatif2(A:A,Table2[[#This Row],[!Table]],G:G,"Y",D:D,"' }, { 'req': '")&amp;"'} ]","rg:[]")</f>
        <v>rg:[ { 'req' : 'id' }, { 'req': 'respondent' }, { 'req': 'initiatorLastUpdateBy' }, { 'req': 'transactionType' }, { 'req': 'numberOfCredits'} ]</v>
      </c>
      <c r="Y19" s="14" t="str">
        <f>IF(LEN(Table2[[#This Row],[!Unique]])&gt;0,IF(Table2[[#This Row],[!Type]] = "id", "rg:None","rg:True"),"rg:None")</f>
        <v>rg:None</v>
      </c>
    </row>
    <row r="20" spans="1:25" s="4" customFormat="1" x14ac:dyDescent="0.3">
      <c r="A20" s="47" t="s">
        <v>221</v>
      </c>
      <c r="B20" s="21" t="s">
        <v>27</v>
      </c>
      <c r="C20" s="3"/>
      <c r="D20" s="21" t="s">
        <v>114</v>
      </c>
      <c r="E20" s="23"/>
      <c r="F20" s="22" t="s">
        <v>115</v>
      </c>
      <c r="G20" s="16"/>
      <c r="H20" s="16"/>
      <c r="I20" s="4" t="str">
        <f t="shared" si="1"/>
        <v>Defs</v>
      </c>
      <c r="J20" s="14" t="str">
        <f>IF(Table2[[#This Row],[!Type]]=J$1, J$1,"rg:None")</f>
        <v>rg:None</v>
      </c>
      <c r="K20" s="14" t="str">
        <f>IF(Table2[[#This Row],[!Type]]=K$1, K$1,"rg:None")</f>
        <v>rg:None</v>
      </c>
      <c r="L20" s="14" t="str">
        <f>IF(Table2[[#This Row],[!Type]]=L$1, L$1,"rg:None")</f>
        <v>rg:None</v>
      </c>
      <c r="M20" s="14" t="str">
        <f>IF(Table2[[#This Row],[!Type]]=M$1, M$1,"rg:None")</f>
        <v>rg:None</v>
      </c>
      <c r="N20" s="14" t="str">
        <f>IF(Table2[[#This Row],[!Type]]=N$1, N$1,"rg:None")</f>
        <v>rg:None</v>
      </c>
      <c r="O20" s="14" t="str">
        <f>IF(Table2[[#This Row],[!Type]]=O$1, O$1,"rg:None")</f>
        <v>rg:None</v>
      </c>
      <c r="P20" s="4" t="str">
        <f>IF(Table2[[#This Row],[!Type]]=P$1, P$1,"rg:None")</f>
        <v>links</v>
      </c>
      <c r="Q20" s="4" t="str">
        <f>IF(Table2[[#This Row],[!Type]]=Q$1, Q$1,"rg:None")</f>
        <v>rg:None</v>
      </c>
      <c r="R20" s="4" t="str">
        <f>IF(Table2[[#This Row],[!Type]]=R$1, R$1,"rg:None")</f>
        <v>rg:None</v>
      </c>
      <c r="S20" s="4" t="str">
        <f>IF(Table2[[#This Row],[!Type]]=S$1, S$1,"rg:None")</f>
        <v>rg:None</v>
      </c>
      <c r="T20" s="14" t="str">
        <f>IF(LEN(Table2[[#This Row],[!Length]]) &gt; 0, Table2[[#This Row],[!Length]], "rg:None")</f>
        <v>rg:None</v>
      </c>
      <c r="U20" s="14" t="str">
        <f>IF(LEN(Table2[[#This Row],[!Name]]) &gt; 0, Table2[[#This Row],[!Name]], "rg:None")</f>
        <v>history</v>
      </c>
      <c r="V20" s="14" t="str">
        <f>IF(LEN(Table2[[#This Row],[!Description]]) &gt; 0, Table2[[#This Row],[!Description]], "rg:None")</f>
        <v>rg:None</v>
      </c>
      <c r="W20" s="14" t="str">
        <f>IF(LEN(Table2[[#This Row],[!FK]])&gt;0,Table2[[#This Row],[!FK]],"rg:None")</f>
        <v>History</v>
      </c>
      <c r="X20" s="14" t="str">
        <f>IF(LEN(concatif2(A:A,Table2[[#This Row],[!Table]],G:G,"Y",D:D,",")) &gt; 0,"rg:[ { 'req' : '"&amp;concatif2(A:A,Table2[[#This Row],[!Table]],G:G,"Y",D:D,"' }, { 'req': '")&amp;"'} ]","rg:[]")</f>
        <v>rg:[ { 'req' : 'id' }, { 'req': 'respondent' }, { 'req': 'initiatorLastUpdateBy' }, { 'req': 'transactionType' }, { 'req': 'numberOfCredits'} ]</v>
      </c>
      <c r="Y20" s="14" t="str">
        <f>IF(LEN(Table2[[#This Row],[!Unique]])&gt;0,IF(Table2[[#This Row],[!Type]] = "id", "rg:None","rg:True"),"rg:None")</f>
        <v>rg:None</v>
      </c>
    </row>
    <row r="21" spans="1:25" s="4" customFormat="1" x14ac:dyDescent="0.35">
      <c r="A21" s="47" t="s">
        <v>219</v>
      </c>
      <c r="B21" s="3" t="s">
        <v>4</v>
      </c>
      <c r="C21" s="3"/>
      <c r="D21" s="47" t="s">
        <v>219</v>
      </c>
      <c r="E21" s="23"/>
      <c r="F21" s="3" t="s">
        <v>5</v>
      </c>
      <c r="I21" s="5" t="str">
        <f t="shared" ref="I21:I23" si="2">IF(LEN(A21) &gt; 0,"Defs","-")</f>
        <v>Defs</v>
      </c>
      <c r="J21" t="str">
        <f>IF(Table2[[#This Row],[!Type]]=J$1, J$1,"rg:None")</f>
        <v>rg:None</v>
      </c>
      <c r="K21" t="str">
        <f>IF(Table2[[#This Row],[!Type]]=K$1, K$1,"rg:None")</f>
        <v>rg:None</v>
      </c>
      <c r="L21" t="str">
        <f>IF(Table2[[#This Row],[!Type]]=L$1, L$1,"rg:None")</f>
        <v>rg:None</v>
      </c>
      <c r="M21" t="str">
        <f>IF(Table2[[#This Row],[!Type]]=M$1, M$1,"rg:None")</f>
        <v>rg:None</v>
      </c>
      <c r="N21" s="9" t="str">
        <f>IF(Table2[[#This Row],[!Type]]=N$1, N$1,"rg:None")</f>
        <v>rg:None</v>
      </c>
      <c r="O21" s="9"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table</v>
      </c>
      <c r="T21" s="9" t="str">
        <f>IF(LEN(Table2[[#This Row],[!Length]]) &gt; 0, Table2[[#This Row],[!Length]], "rg:None")</f>
        <v>rg:None</v>
      </c>
      <c r="U21" s="9" t="str">
        <f>IF(LEN(Table2[[#This Row],[!Name]]) &gt; 0, Table2[[#This Row],[!Name]], "rg:None")</f>
        <v>CreditTradeLogEntry</v>
      </c>
      <c r="V21" s="9" t="str">
        <f>IF(LEN(Table2[[#This Row],[!Description]]) &gt; 0, Table2[[#This Row],[!Description]], "rg:None")</f>
        <v>rg:None</v>
      </c>
      <c r="W21" s="9" t="str">
        <f>IF(LEN(Table2[[#This Row],[!FK]])&gt;0,Table2[[#This Row],[!FK]],"rg:None")</f>
        <v>rg:None</v>
      </c>
      <c r="X21" s="9" t="str">
        <f>IF(LEN(concatif2(A:A,Table2[[#This Row],[!Table]],G:G,"Y",D:D,",")) &gt; 0,"rg:[ { 'req' : '"&amp;concatif2(A:A,Table2[[#This Row],[!Table]],G:G,"Y",D:D,"' }, { 'req': '")&amp;"'} ]","rg:[]")</f>
        <v>rg:[ { 'req' : 'id' }, { 'req': 'logEntryTime' }, { 'req': 'newCompliancePeriod' }, { 'req': 'newStatus' }, { 'req': 'newNumberOfCredits'} ]</v>
      </c>
      <c r="Y21" s="9" t="str">
        <f>IF(LEN(Table2[[#This Row],[!Unique]])&gt;0,IF(Table2[[#This Row],[!Type]] = "id", "rg:None","rg:True"),"rg:None")</f>
        <v>rg:None</v>
      </c>
    </row>
    <row r="22" spans="1:25" s="4" customFormat="1" x14ac:dyDescent="0.35">
      <c r="A22" s="47" t="s">
        <v>219</v>
      </c>
      <c r="B22" s="3" t="s">
        <v>6</v>
      </c>
      <c r="C22" s="3"/>
      <c r="D22" s="3" t="s">
        <v>6</v>
      </c>
      <c r="E22" s="29"/>
      <c r="F22" s="3" t="s">
        <v>5</v>
      </c>
      <c r="G22" s="4" t="s">
        <v>69</v>
      </c>
      <c r="H22" s="32" t="s">
        <v>69</v>
      </c>
      <c r="I22" s="5" t="str">
        <f t="shared" si="2"/>
        <v>Defs</v>
      </c>
      <c r="J22" t="str">
        <f>IF(Table2[[#This Row],[!Type]]=J$1, J$1,"rg:None")</f>
        <v>rg:None</v>
      </c>
      <c r="K22" t="str">
        <f>IF(Table2[[#This Row],[!Type]]=K$1, K$1,"rg:None")</f>
        <v>rg:None</v>
      </c>
      <c r="L22" t="str">
        <f>IF(Table2[[#This Row],[!Type]]=L$1, L$1,"rg:None")</f>
        <v>rg:None</v>
      </c>
      <c r="M22" t="str">
        <f>IF(Table2[[#This Row],[!Type]]=M$1, M$1,"rg:None")</f>
        <v>id</v>
      </c>
      <c r="N22" s="9" t="str">
        <f>IF(Table2[[#This Row],[!Type]]=N$1, N$1,"rg:None")</f>
        <v>rg:None</v>
      </c>
      <c r="O22" s="9"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9" t="str">
        <f>IF(LEN(Table2[[#This Row],[!Length]]) &gt; 0, Table2[[#This Row],[!Length]], "rg:None")</f>
        <v>rg:None</v>
      </c>
      <c r="U22" s="9" t="str">
        <f>IF(LEN(Table2[[#This Row],[!Name]]) &gt; 0, Table2[[#This Row],[!Name]], "rg:None")</f>
        <v>id</v>
      </c>
      <c r="V22" s="9" t="str">
        <f>IF(LEN(Table2[[#This Row],[!Description]]) &gt; 0, Table2[[#This Row],[!Description]], "rg:None")</f>
        <v>rg:None</v>
      </c>
      <c r="W22" s="9" t="str">
        <f>IF(LEN(Table2[[#This Row],[!FK]])&gt;0,Table2[[#This Row],[!FK]],"rg:None")</f>
        <v>rg:None</v>
      </c>
      <c r="X22" s="9" t="str">
        <f>IF(LEN(concatif2(A:A,Table2[[#This Row],[!Table]],G:G,"Y",D:D,",")) &gt; 0,"rg:[ { 'req' : '"&amp;concatif2(A:A,Table2[[#This Row],[!Table]],G:G,"Y",D:D,"' }, { 'req': '")&amp;"'} ]","rg:[]")</f>
        <v>rg:[ { 'req' : 'id' }, { 'req': 'logEntryTime' }, { 'req': 'newCompliancePeriod' }, { 'req': 'newStatus' }, { 'req': 'newNumberOfCredits'} ]</v>
      </c>
      <c r="Y22" s="9" t="str">
        <f>IF(LEN(Table2[[#This Row],[!Unique]])&gt;0,IF(Table2[[#This Row],[!Type]] = "id", "rg:None","rg:True"),"rg:None")</f>
        <v>rg:None</v>
      </c>
    </row>
    <row r="23" spans="1:25" s="4" customFormat="1" x14ac:dyDescent="0.35">
      <c r="A23" s="47" t="s">
        <v>219</v>
      </c>
      <c r="B23" s="3" t="s">
        <v>8</v>
      </c>
      <c r="C23" s="3"/>
      <c r="D23" s="47" t="s">
        <v>232</v>
      </c>
      <c r="E23" s="29"/>
      <c r="F23" s="47" t="s">
        <v>221</v>
      </c>
      <c r="I23" s="5" t="str">
        <f t="shared" si="2"/>
        <v>Defs</v>
      </c>
      <c r="J23" t="str">
        <f>IF(Table2[[#This Row],[!Type]]=J$1, J$1,"rg:None")</f>
        <v>rg:None</v>
      </c>
      <c r="K23" t="str">
        <f>IF(Table2[[#This Row],[!Type]]=K$1, K$1,"rg:None")</f>
        <v>rg:None</v>
      </c>
      <c r="L23" t="str">
        <f>IF(Table2[[#This Row],[!Type]]=L$1, L$1,"rg:None")</f>
        <v>rg:None</v>
      </c>
      <c r="M23" t="str">
        <f>IF(Table2[[#This Row],[!Type]]=M$1, M$1,"rg:None")</f>
        <v>rg:None</v>
      </c>
      <c r="N23" s="9" t="str">
        <f>IF(Table2[[#This Row],[!Type]]=N$1, N$1,"rg:None")</f>
        <v>rg:None</v>
      </c>
      <c r="O23" s="9"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9" t="str">
        <f>IF(LEN(Table2[[#This Row],[!Length]]) &gt; 0, Table2[[#This Row],[!Length]], "rg:None")</f>
        <v>rg:None</v>
      </c>
      <c r="U23" s="9" t="str">
        <f>IF(LEN(Table2[[#This Row],[!Name]]) &gt; 0, Table2[[#This Row],[!Name]], "rg:None")</f>
        <v>creditTrade</v>
      </c>
      <c r="V23" s="9" t="str">
        <f>IF(LEN(Table2[[#This Row],[!Description]]) &gt; 0, Table2[[#This Row],[!Description]], "rg:None")</f>
        <v>rg:None</v>
      </c>
      <c r="W23" s="9" t="str">
        <f>IF(LEN(Table2[[#This Row],[!FK]])&gt;0,Table2[[#This Row],[!FK]],"rg:None")</f>
        <v>CreditTrade</v>
      </c>
      <c r="X23" s="9" t="str">
        <f>IF(LEN(concatif2(A:A,Table2[[#This Row],[!Table]],G:G,"Y",D:D,",")) &gt; 0,"rg:[ { 'req' : '"&amp;concatif2(A:A,Table2[[#This Row],[!Table]],G:G,"Y",D:D,"' }, { 'req': '")&amp;"'} ]","rg:[]")</f>
        <v>rg:[ { 'req' : 'id' }, { 'req': 'logEntryTime' }, { 'req': 'newCompliancePeriod' }, { 'req': 'newStatus' }, { 'req': 'newNumberOfCredits'} ]</v>
      </c>
      <c r="Y23" s="9" t="str">
        <f>IF(LEN(Table2[[#This Row],[!Unique]])&gt;0,IF(Table2[[#This Row],[!Type]] = "id", "rg:None","rg:True"),"rg:None")</f>
        <v>rg:None</v>
      </c>
    </row>
    <row r="24" spans="1:25" s="4" customFormat="1" x14ac:dyDescent="0.35">
      <c r="A24" s="47" t="s">
        <v>219</v>
      </c>
      <c r="B24" s="3" t="s">
        <v>8</v>
      </c>
      <c r="C24" s="3"/>
      <c r="D24" s="47" t="s">
        <v>48</v>
      </c>
      <c r="E24" s="29"/>
      <c r="F24" s="3" t="s">
        <v>0</v>
      </c>
      <c r="I24" s="5" t="str">
        <f t="shared" ref="I24:I111" si="3">IF(LEN(A24) &gt; 0,"Defs","-")</f>
        <v>Defs</v>
      </c>
      <c r="J24" t="str">
        <f>IF(Table2[[#This Row],[!Type]]=J$1, J$1,"rg:None")</f>
        <v>rg:None</v>
      </c>
      <c r="K24" t="str">
        <f>IF(Table2[[#This Row],[!Type]]=K$1, K$1,"rg:None")</f>
        <v>rg:None</v>
      </c>
      <c r="L24" t="str">
        <f>IF(Table2[[#This Row],[!Type]]=L$1, L$1,"rg:None")</f>
        <v>rg:None</v>
      </c>
      <c r="M24" t="str">
        <f>IF(Table2[[#This Row],[!Type]]=M$1, M$1,"rg:None")</f>
        <v>rg:None</v>
      </c>
      <c r="N24" s="9" t="str">
        <f>IF(Table2[[#This Row],[!Type]]=N$1, N$1,"rg:None")</f>
        <v>rg:None</v>
      </c>
      <c r="O24" s="9" t="str">
        <f>IF(Table2[[#This Row],[!Type]]=O$1, O$1,"rg:None")</f>
        <v>rg:None</v>
      </c>
      <c r="P24" s="5" t="str">
        <f>IF(Table2[[#This Row],[!Type]]=P$1, P$1,"rg:None")</f>
        <v>rg:None</v>
      </c>
      <c r="Q24" s="5" t="str">
        <f>IF(Table2[[#This Row],[!Type]]=Q$1, Q$1,"rg:None")</f>
        <v>ref</v>
      </c>
      <c r="R24" s="5" t="str">
        <f>IF(Table2[[#This Row],[!Type]]=R$1, R$1,"rg:None")</f>
        <v>rg:None</v>
      </c>
      <c r="S24" s="5" t="str">
        <f>IF(Table2[[#This Row],[!Type]]=S$1, S$1,"rg:None")</f>
        <v>rg:None</v>
      </c>
      <c r="T24" s="9" t="str">
        <f>IF(LEN(Table2[[#This Row],[!Length]]) &gt; 0, Table2[[#This Row],[!Length]], "rg:None")</f>
        <v>rg:None</v>
      </c>
      <c r="U24" s="9" t="str">
        <f>IF(LEN(Table2[[#This Row],[!Name]]) &gt; 0, Table2[[#This Row],[!Name]], "rg:None")</f>
        <v>user</v>
      </c>
      <c r="V24" s="9" t="str">
        <f>IF(LEN(Table2[[#This Row],[!Description]]) &gt; 0, Table2[[#This Row],[!Description]], "rg:None")</f>
        <v>rg:None</v>
      </c>
      <c r="W24" s="9" t="str">
        <f>IF(LEN(Table2[[#This Row],[!FK]])&gt;0,Table2[[#This Row],[!FK]],"rg:None")</f>
        <v>User</v>
      </c>
      <c r="X24" s="9" t="str">
        <f>IF(LEN(concatif2(A:A,Table2[[#This Row],[!Table]],G:G,"Y",D:D,",")) &gt; 0,"rg:[ { 'req' : '"&amp;concatif2(A:A,Table2[[#This Row],[!Table]],G:G,"Y",D:D,"' }, { 'req': '")&amp;"'} ]","rg:[]")</f>
        <v>rg:[ { 'req' : 'id' }, { 'req': 'logEntryTime' }, { 'req': 'newCompliancePeriod' }, { 'req': 'newStatus' }, { 'req': 'newNumberOfCredits'} ]</v>
      </c>
      <c r="Y24" s="9" t="str">
        <f>IF(LEN(Table2[[#This Row],[!Unique]])&gt;0,IF(Table2[[#This Row],[!Type]] = "id", "rg:None","rg:True"),"rg:None")</f>
        <v>rg:None</v>
      </c>
    </row>
    <row r="25" spans="1:25" s="4" customFormat="1" x14ac:dyDescent="0.35">
      <c r="A25" s="47" t="s">
        <v>219</v>
      </c>
      <c r="B25" s="3" t="s">
        <v>11</v>
      </c>
      <c r="C25" s="3"/>
      <c r="D25" s="47" t="s">
        <v>233</v>
      </c>
      <c r="E25" s="29"/>
      <c r="F25" s="3" t="s">
        <v>5</v>
      </c>
      <c r="G25" s="32" t="s">
        <v>69</v>
      </c>
      <c r="I25" s="5" t="str">
        <f t="shared" si="3"/>
        <v>Defs</v>
      </c>
      <c r="J25" t="str">
        <f>IF(Table2[[#This Row],[!Type]]=J$1, J$1,"rg:None")</f>
        <v>rg:None</v>
      </c>
      <c r="K25" t="str">
        <f>IF(Table2[[#This Row],[!Type]]=K$1, K$1,"rg:None")</f>
        <v>rg:None</v>
      </c>
      <c r="L25" t="str">
        <f>IF(Table2[[#This Row],[!Type]]=L$1, L$1,"rg:None")</f>
        <v>datetime</v>
      </c>
      <c r="M25" t="str">
        <f>IF(Table2[[#This Row],[!Type]]=M$1, M$1,"rg:None")</f>
        <v>rg:None</v>
      </c>
      <c r="N25" s="9" t="str">
        <f>IF(Table2[[#This Row],[!Type]]=N$1, N$1,"rg:None")</f>
        <v>rg:None</v>
      </c>
      <c r="O25" s="9" t="str">
        <f>IF(Table2[[#This Row],[!Type]]=O$1, O$1,"rg:None")</f>
        <v>rg:None</v>
      </c>
      <c r="P25" s="5" t="str">
        <f>IF(Table2[[#This Row],[!Type]]=P$1, P$1,"rg:None")</f>
        <v>rg:None</v>
      </c>
      <c r="Q25" s="5" t="str">
        <f>IF(Table2[[#This Row],[!Type]]=Q$1, Q$1,"rg:None")</f>
        <v>rg:None</v>
      </c>
      <c r="R25" s="5" t="str">
        <f>IF(Table2[[#This Row],[!Type]]=R$1, R$1,"rg:None")</f>
        <v>rg:None</v>
      </c>
      <c r="S25" s="5" t="str">
        <f>IF(Table2[[#This Row],[!Type]]=S$1, S$1,"rg:None")</f>
        <v>rg:None</v>
      </c>
      <c r="T25" s="9" t="str">
        <f>IF(LEN(Table2[[#This Row],[!Length]]) &gt; 0, Table2[[#This Row],[!Length]], "rg:None")</f>
        <v>rg:None</v>
      </c>
      <c r="U25" s="9" t="str">
        <f>IF(LEN(Table2[[#This Row],[!Name]]) &gt; 0, Table2[[#This Row],[!Name]], "rg:None")</f>
        <v>logEntryTime</v>
      </c>
      <c r="V25" s="9" t="str">
        <f>IF(LEN(Table2[[#This Row],[!Description]]) &gt; 0, Table2[[#This Row],[!Description]], "rg:None")</f>
        <v>rg:None</v>
      </c>
      <c r="W25" s="9" t="str">
        <f>IF(LEN(Table2[[#This Row],[!FK]])&gt;0,Table2[[#This Row],[!FK]],"rg:None")</f>
        <v>rg:None</v>
      </c>
      <c r="X25" s="9" t="str">
        <f>IF(LEN(concatif2(A:A,Table2[[#This Row],[!Table]],G:G,"Y",D:D,",")) &gt; 0,"rg:[ { 'req' : '"&amp;concatif2(A:A,Table2[[#This Row],[!Table]],G:G,"Y",D:D,"' }, { 'req': '")&amp;"'} ]","rg:[]")</f>
        <v>rg:[ { 'req' : 'id' }, { 'req': 'logEntryTime' }, { 'req': 'newCompliancePeriod' }, { 'req': 'newStatus' }, { 'req': 'newNumberOfCredits'} ]</v>
      </c>
      <c r="Y25" s="9" t="str">
        <f>IF(LEN(Table2[[#This Row],[!Unique]])&gt;0,IF(Table2[[#This Row],[!Type]] = "id", "rg:None","rg:True"),"rg:None")</f>
        <v>rg:None</v>
      </c>
    </row>
    <row r="26" spans="1:25" s="4" customFormat="1" x14ac:dyDescent="0.35">
      <c r="A26" s="47" t="s">
        <v>219</v>
      </c>
      <c r="B26" s="47" t="s">
        <v>8</v>
      </c>
      <c r="C26" s="3"/>
      <c r="D26" s="47" t="s">
        <v>234</v>
      </c>
      <c r="E26" s="29"/>
      <c r="F26" s="47" t="s">
        <v>228</v>
      </c>
      <c r="G26" s="32" t="s">
        <v>69</v>
      </c>
      <c r="I26" s="5" t="str">
        <f t="shared" si="3"/>
        <v>Defs</v>
      </c>
      <c r="J26" t="str">
        <f>IF(Table2[[#This Row],[!Type]]=J$1, J$1,"rg:None")</f>
        <v>rg:None</v>
      </c>
      <c r="K26" t="str">
        <f>IF(Table2[[#This Row],[!Type]]=K$1, K$1,"rg:None")</f>
        <v>rg:None</v>
      </c>
      <c r="L26" t="str">
        <f>IF(Table2[[#This Row],[!Type]]=L$1, L$1,"rg:None")</f>
        <v>rg:None</v>
      </c>
      <c r="M26" t="str">
        <f>IF(Table2[[#This Row],[!Type]]=M$1, M$1,"rg:None")</f>
        <v>rg:None</v>
      </c>
      <c r="N26" s="9" t="str">
        <f>IF(Table2[[#This Row],[!Type]]=N$1, N$1,"rg:None")</f>
        <v>rg:None</v>
      </c>
      <c r="O26" s="9" t="str">
        <f>IF(Table2[[#This Row],[!Type]]=O$1, O$1,"rg:None")</f>
        <v>rg:None</v>
      </c>
      <c r="P26" s="5" t="str">
        <f>IF(Table2[[#This Row],[!Type]]=P$1, P$1,"rg:None")</f>
        <v>rg:None</v>
      </c>
      <c r="Q26" s="5" t="str">
        <f>IF(Table2[[#This Row],[!Type]]=Q$1, Q$1,"rg:None")</f>
        <v>ref</v>
      </c>
      <c r="R26" s="5" t="str">
        <f>IF(Table2[[#This Row],[!Type]]=R$1, R$1,"rg:None")</f>
        <v>rg:None</v>
      </c>
      <c r="S26" s="5" t="str">
        <f>IF(Table2[[#This Row],[!Type]]=S$1, S$1,"rg:None")</f>
        <v>rg:None</v>
      </c>
      <c r="T26" s="9" t="str">
        <f>IF(LEN(Table2[[#This Row],[!Length]]) &gt; 0, Table2[[#This Row],[!Length]], "rg:None")</f>
        <v>rg:None</v>
      </c>
      <c r="U26" s="9" t="str">
        <f>IF(LEN(Table2[[#This Row],[!Name]]) &gt; 0, Table2[[#This Row],[!Name]], "rg:None")</f>
        <v>newCompliancePeriod</v>
      </c>
      <c r="V26" s="9" t="str">
        <f>IF(LEN(Table2[[#This Row],[!Description]]) &gt; 0, Table2[[#This Row],[!Description]], "rg:None")</f>
        <v>rg:None</v>
      </c>
      <c r="W26" s="9" t="str">
        <f>IF(LEN(Table2[[#This Row],[!FK]])&gt;0,Table2[[#This Row],[!FK]],"rg:None")</f>
        <v>CompliancePeriod</v>
      </c>
      <c r="X26" s="9" t="str">
        <f>IF(LEN(concatif2(A:A,Table2[[#This Row],[!Table]],G:G,"Y",D:D,",")) &gt; 0,"rg:[ { 'req' : '"&amp;concatif2(A:A,Table2[[#This Row],[!Table]],G:G,"Y",D:D,"' }, { 'req': '")&amp;"'} ]","rg:[]")</f>
        <v>rg:[ { 'req' : 'id' }, { 'req': 'logEntryTime' }, { 'req': 'newCompliancePeriod' }, { 'req': 'newStatus' }, { 'req': 'newNumberOfCredits'} ]</v>
      </c>
      <c r="Y26" s="9" t="str">
        <f>IF(LEN(Table2[[#This Row],[!Unique]])&gt;0,IF(Table2[[#This Row],[!Type]] = "id", "rg:None","rg:True"),"rg:None")</f>
        <v>rg:None</v>
      </c>
    </row>
    <row r="27" spans="1:25" s="4" customFormat="1" x14ac:dyDescent="0.35">
      <c r="A27" s="47" t="s">
        <v>219</v>
      </c>
      <c r="B27" s="47" t="s">
        <v>7</v>
      </c>
      <c r="C27" s="3"/>
      <c r="D27" s="47" t="s">
        <v>235</v>
      </c>
      <c r="E27" s="29"/>
      <c r="F27" s="3" t="s">
        <v>5</v>
      </c>
      <c r="G27" s="32" t="s">
        <v>69</v>
      </c>
      <c r="I27" s="5" t="str">
        <f t="shared" si="3"/>
        <v>Defs</v>
      </c>
      <c r="J27" t="str">
        <f>IF(Table2[[#This Row],[!Type]]=J$1, J$1,"rg:None")</f>
        <v>rg:None</v>
      </c>
      <c r="K27" t="str">
        <f>IF(Table2[[#This Row],[!Type]]=K$1, K$1,"rg:None")</f>
        <v>rg:None</v>
      </c>
      <c r="L27" t="str">
        <f>IF(Table2[[#This Row],[!Type]]=L$1, L$1,"rg:None")</f>
        <v>rg:None</v>
      </c>
      <c r="M27" t="str">
        <f>IF(Table2[[#This Row],[!Type]]=M$1, M$1,"rg:None")</f>
        <v>rg:None</v>
      </c>
      <c r="N27" s="9" t="str">
        <f>IF(Table2[[#This Row],[!Type]]=N$1, N$1,"rg:None")</f>
        <v>rg:None</v>
      </c>
      <c r="O27" s="9"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9" t="str">
        <f>IF(LEN(Table2[[#This Row],[!Length]]) &gt; 0, Table2[[#This Row],[!Length]], "rg:None")</f>
        <v>rg:None</v>
      </c>
      <c r="U27" s="9" t="str">
        <f>IF(LEN(Table2[[#This Row],[!Name]]) &gt; 0, Table2[[#This Row],[!Name]], "rg:None")</f>
        <v>newStatus</v>
      </c>
      <c r="V27" s="9" t="str">
        <f>IF(LEN(Table2[[#This Row],[!Description]]) &gt; 0, Table2[[#This Row],[!Description]], "rg:None")</f>
        <v>rg:None</v>
      </c>
      <c r="W27" s="9" t="str">
        <f>IF(LEN(Table2[[#This Row],[!FK]])&gt;0,Table2[[#This Row],[!FK]],"rg:None")</f>
        <v>rg:None</v>
      </c>
      <c r="X27" s="9" t="str">
        <f>IF(LEN(concatif2(A:A,Table2[[#This Row],[!Table]],G:G,"Y",D:D,",")) &gt; 0,"rg:[ { 'req' : '"&amp;concatif2(A:A,Table2[[#This Row],[!Table]],G:G,"Y",D:D,"' }, { 'req': '")&amp;"'} ]","rg:[]")</f>
        <v>rg:[ { 'req' : 'id' }, { 'req': 'logEntryTime' }, { 'req': 'newCompliancePeriod' }, { 'req': 'newStatus' }, { 'req': 'newNumberOfCredits'} ]</v>
      </c>
      <c r="Y27" s="9" t="str">
        <f>IF(LEN(Table2[[#This Row],[!Unique]])&gt;0,IF(Table2[[#This Row],[!Type]] = "id", "rg:None","rg:True"),"rg:None")</f>
        <v>rg:None</v>
      </c>
    </row>
    <row r="28" spans="1:25" s="4" customFormat="1" x14ac:dyDescent="0.35">
      <c r="A28" s="47" t="s">
        <v>219</v>
      </c>
      <c r="B28" s="47" t="s">
        <v>11</v>
      </c>
      <c r="C28" s="3"/>
      <c r="D28" s="47" t="s">
        <v>236</v>
      </c>
      <c r="E28" s="29"/>
      <c r="F28" s="3" t="s">
        <v>5</v>
      </c>
      <c r="I28" s="5" t="str">
        <f t="shared" si="3"/>
        <v>Defs</v>
      </c>
      <c r="J28" t="str">
        <f>IF(Table2[[#This Row],[!Type]]=J$1, J$1,"rg:None")</f>
        <v>rg:None</v>
      </c>
      <c r="K28" t="str">
        <f>IF(Table2[[#This Row],[!Type]]=K$1, K$1,"rg:None")</f>
        <v>rg:None</v>
      </c>
      <c r="L28" t="str">
        <f>IF(Table2[[#This Row],[!Type]]=L$1, L$1,"rg:None")</f>
        <v>datetime</v>
      </c>
      <c r="M28" t="str">
        <f>IF(Table2[[#This Row],[!Type]]=M$1, M$1,"rg:None")</f>
        <v>rg:None</v>
      </c>
      <c r="N28" s="9" t="str">
        <f>IF(Table2[[#This Row],[!Type]]=N$1, N$1,"rg:None")</f>
        <v>rg:None</v>
      </c>
      <c r="O28" s="9"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9" t="str">
        <f>IF(LEN(Table2[[#This Row],[!Length]]) &gt; 0, Table2[[#This Row],[!Length]], "rg:None")</f>
        <v>rg:None</v>
      </c>
      <c r="U28" s="9" t="str">
        <f>IF(LEN(Table2[[#This Row],[!Name]]) &gt; 0, Table2[[#This Row],[!Name]], "rg:None")</f>
        <v>newTradeExecutionDate</v>
      </c>
      <c r="V28" s="9" t="str">
        <f>IF(LEN(Table2[[#This Row],[!Description]]) &gt; 0, Table2[[#This Row],[!Description]], "rg:None")</f>
        <v>rg:None</v>
      </c>
      <c r="W28" s="9" t="str">
        <f>IF(LEN(Table2[[#This Row],[!FK]])&gt;0,Table2[[#This Row],[!FK]],"rg:None")</f>
        <v>rg:None</v>
      </c>
      <c r="X28" s="9" t="str">
        <f>IF(LEN(concatif2(A:A,Table2[[#This Row],[!Table]],G:G,"Y",D:D,",")) &gt; 0,"rg:[ { 'req' : '"&amp;concatif2(A:A,Table2[[#This Row],[!Table]],G:G,"Y",D:D,"' }, { 'req': '")&amp;"'} ]","rg:[]")</f>
        <v>rg:[ { 'req' : 'id' }, { 'req': 'logEntryTime' }, { 'req': 'newCompliancePeriod' }, { 'req': 'newStatus' }, { 'req': 'newNumberOfCredits'} ]</v>
      </c>
      <c r="Y28" s="9" t="str">
        <f>IF(LEN(Table2[[#This Row],[!Unique]])&gt;0,IF(Table2[[#This Row],[!Type]] = "id", "rg:None","rg:True"),"rg:None")</f>
        <v>rg:None</v>
      </c>
    </row>
    <row r="29" spans="1:25" s="4" customFormat="1" x14ac:dyDescent="0.35">
      <c r="A29" s="47" t="s">
        <v>219</v>
      </c>
      <c r="B29" s="3" t="s">
        <v>7</v>
      </c>
      <c r="C29" s="3"/>
      <c r="D29" s="49" t="s">
        <v>237</v>
      </c>
      <c r="E29" s="29"/>
      <c r="F29" s="3" t="s">
        <v>5</v>
      </c>
      <c r="I29" s="5" t="str">
        <f t="shared" si="3"/>
        <v>Defs</v>
      </c>
      <c r="J29" t="str">
        <f>IF(Table2[[#This Row],[!Type]]=J$1, J$1,"rg:None")</f>
        <v>rg:None</v>
      </c>
      <c r="K29" t="str">
        <f>IF(Table2[[#This Row],[!Type]]=K$1, K$1,"rg:None")</f>
        <v>rg:None</v>
      </c>
      <c r="L29" t="str">
        <f>IF(Table2[[#This Row],[!Type]]=L$1, L$1,"rg:None")</f>
        <v>rg:None</v>
      </c>
      <c r="M29" t="str">
        <f>IF(Table2[[#This Row],[!Type]]=M$1, M$1,"rg:None")</f>
        <v>rg:None</v>
      </c>
      <c r="N29" s="9" t="str">
        <f>IF(Table2[[#This Row],[!Type]]=N$1, N$1,"rg:None")</f>
        <v>rg:None</v>
      </c>
      <c r="O29" s="9" t="str">
        <f>IF(Table2[[#This Row],[!Type]]=O$1, O$1,"rg:None")</f>
        <v>rg:None</v>
      </c>
      <c r="P29" s="5" t="str">
        <f>IF(Table2[[#This Row],[!Type]]=P$1, P$1,"rg:None")</f>
        <v>rg:None</v>
      </c>
      <c r="Q29" s="5" t="str">
        <f>IF(Table2[[#This Row],[!Type]]=Q$1, Q$1,"rg:None")</f>
        <v>rg:None</v>
      </c>
      <c r="R29" s="5" t="str">
        <f>IF(Table2[[#This Row],[!Type]]=R$1, R$1,"rg:None")</f>
        <v>string</v>
      </c>
      <c r="S29" s="5" t="str">
        <f>IF(Table2[[#This Row],[!Type]]=S$1, S$1,"rg:None")</f>
        <v>rg:None</v>
      </c>
      <c r="T29" s="9" t="str">
        <f>IF(LEN(Table2[[#This Row],[!Length]]) &gt; 0, Table2[[#This Row],[!Length]], "rg:None")</f>
        <v>rg:None</v>
      </c>
      <c r="U29" s="9" t="str">
        <f>IF(LEN(Table2[[#This Row],[!Name]]) &gt; 0, Table2[[#This Row],[!Name]], "rg:None")</f>
        <v>newTransactionType</v>
      </c>
      <c r="V29" s="9" t="str">
        <f>IF(LEN(Table2[[#This Row],[!Description]]) &gt; 0, Table2[[#This Row],[!Description]], "rg:None")</f>
        <v>rg:None</v>
      </c>
      <c r="W29" s="9" t="str">
        <f>IF(LEN(Table2[[#This Row],[!FK]])&gt;0,Table2[[#This Row],[!FK]],"rg:None")</f>
        <v>rg:None</v>
      </c>
      <c r="X29" s="9" t="str">
        <f>IF(LEN(concatif2(A:A,Table2[[#This Row],[!Table]],G:G,"Y",D:D,",")) &gt; 0,"rg:[ { 'req' : '"&amp;concatif2(A:A,Table2[[#This Row],[!Table]],G:G,"Y",D:D,"' }, { 'req': '")&amp;"'} ]","rg:[]")</f>
        <v>rg:[ { 'req' : 'id' }, { 'req': 'logEntryTime' }, { 'req': 'newCompliancePeriod' }, { 'req': 'newStatus' }, { 'req': 'newNumberOfCredits'} ]</v>
      </c>
      <c r="Y29" s="9" t="str">
        <f>IF(LEN(Table2[[#This Row],[!Unique]])&gt;0,IF(Table2[[#This Row],[!Type]] = "id", "rg:None","rg:True"),"rg:None")</f>
        <v>rg:None</v>
      </c>
    </row>
    <row r="30" spans="1:25" s="4" customFormat="1" x14ac:dyDescent="0.3">
      <c r="A30" s="47" t="s">
        <v>219</v>
      </c>
      <c r="B30" s="49" t="s">
        <v>12</v>
      </c>
      <c r="C30" s="3"/>
      <c r="D30" s="47" t="s">
        <v>238</v>
      </c>
      <c r="E30" s="29"/>
      <c r="F30" s="6"/>
      <c r="G30" s="33" t="s">
        <v>69</v>
      </c>
      <c r="H30" s="16"/>
      <c r="I30" s="4" t="str">
        <f t="shared" ref="I30:I88" si="4">IF(LEN(A30) &gt; 0,"Defs","-")</f>
        <v>Defs</v>
      </c>
      <c r="J30" s="14" t="str">
        <f>IF(Table2[[#This Row],[!Type]]=J$1, J$1,"rg:None")</f>
        <v>rg:None</v>
      </c>
      <c r="K30" s="14" t="str">
        <f>IF(Table2[[#This Row],[!Type]]=K$1, K$1,"rg:None")</f>
        <v>rg:None</v>
      </c>
      <c r="L30" s="14" t="str">
        <f>IF(Table2[[#This Row],[!Type]]=L$1, L$1,"rg:None")</f>
        <v>rg:None</v>
      </c>
      <c r="M30" s="14" t="str">
        <f>IF(Table2[[#This Row],[!Type]]=M$1, M$1,"rg:None")</f>
        <v>rg:None</v>
      </c>
      <c r="N30" s="14" t="str">
        <f>IF(Table2[[#This Row],[!Type]]=N$1, N$1,"rg:None")</f>
        <v>integer</v>
      </c>
      <c r="O30" s="1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4" t="str">
        <f>IF(LEN(Table2[[#This Row],[!Length]]) &gt; 0, Table2[[#This Row],[!Length]], "rg:None")</f>
        <v>rg:None</v>
      </c>
      <c r="U30" s="14" t="str">
        <f>IF(LEN(Table2[[#This Row],[!Name]]) &gt; 0, Table2[[#This Row],[!Name]], "rg:None")</f>
        <v>newNumberOfCredits</v>
      </c>
      <c r="V30" s="14" t="str">
        <f>IF(LEN(Table2[[#This Row],[!Description]]) &gt; 0, Table2[[#This Row],[!Description]], "rg:None")</f>
        <v>rg:None</v>
      </c>
      <c r="W30" s="14" t="str">
        <f>IF(LEN(Table2[[#This Row],[!FK]])&gt;0,Table2[[#This Row],[!FK]],"rg:None")</f>
        <v>rg:None</v>
      </c>
      <c r="X30" s="14" t="str">
        <f>IF(LEN(concatif2(A:A,Table2[[#This Row],[!Table]],G:G,"Y",D:D,",")) &gt; 0,"rg:[ { 'req' : '"&amp;concatif2(A:A,Table2[[#This Row],[!Table]],G:G,"Y",D:D,"' }, { 'req': '")&amp;"'} ]","rg:[]")</f>
        <v>rg:[ { 'req' : 'id' }, { 'req': 'logEntryTime' }, { 'req': 'newCompliancePeriod' }, { 'req': 'newStatus' }, { 'req': 'newNumberOfCredits'} ]</v>
      </c>
      <c r="Y30" s="14" t="str">
        <f>IF(LEN(Table2[[#This Row],[!Unique]])&gt;0,IF(Table2[[#This Row],[!Type]] = "id", "rg:None","rg:True"),"rg:None")</f>
        <v>rg:None</v>
      </c>
    </row>
    <row r="31" spans="1:25" s="4" customFormat="1" x14ac:dyDescent="0.3">
      <c r="A31" s="47" t="s">
        <v>219</v>
      </c>
      <c r="B31" s="47" t="s">
        <v>128</v>
      </c>
      <c r="C31" s="3"/>
      <c r="D31" s="47" t="s">
        <v>239</v>
      </c>
      <c r="E31" s="29"/>
      <c r="F31" s="3"/>
      <c r="G31" s="3"/>
      <c r="H31" s="3"/>
      <c r="I31" s="4" t="str">
        <f t="shared" si="4"/>
        <v>Defs</v>
      </c>
      <c r="J31" s="14" t="str">
        <f>IF(Table2[[#This Row],[!Type]]=J$1, J$1,"rg:None")</f>
        <v>rg:None</v>
      </c>
      <c r="K31" s="14" t="str">
        <f>IF(Table2[[#This Row],[!Type]]=K$1, K$1,"rg:None")</f>
        <v>rg:None</v>
      </c>
      <c r="L31" s="14" t="str">
        <f>IF(Table2[[#This Row],[!Type]]=L$1, L$1,"rg:None")</f>
        <v>rg:None</v>
      </c>
      <c r="M31" s="14" t="str">
        <f>IF(Table2[[#This Row],[!Type]]=M$1, M$1,"rg:None")</f>
        <v>rg:None</v>
      </c>
      <c r="N31" s="14" t="str">
        <f>IF(Table2[[#This Row],[!Type]]=N$1, N$1,"rg:None")</f>
        <v>rg:None</v>
      </c>
      <c r="O31" s="14" t="str">
        <f>IF(Table2[[#This Row],[!Type]]=O$1, O$1,"rg:None")</f>
        <v>float</v>
      </c>
      <c r="P31" s="4" t="str">
        <f>IF(Table2[[#This Row],[!Type]]=P$1, P$1,"rg:None")</f>
        <v>rg:None</v>
      </c>
      <c r="Q31" s="4" t="str">
        <f>IF(Table2[[#This Row],[!Type]]=Q$1, Q$1,"rg:None")</f>
        <v>rg:None</v>
      </c>
      <c r="R31" s="4" t="str">
        <f>IF(Table2[[#This Row],[!Type]]=R$1, R$1,"rg:None")</f>
        <v>rg:None</v>
      </c>
      <c r="S31" s="4" t="str">
        <f>IF(Table2[[#This Row],[!Type]]=S$1, S$1,"rg:None")</f>
        <v>rg:None</v>
      </c>
      <c r="T31" s="14" t="str">
        <f>IF(LEN(Table2[[#This Row],[!Length]]) &gt; 0, Table2[[#This Row],[!Length]], "rg:None")</f>
        <v>rg:None</v>
      </c>
      <c r="U31" s="14" t="str">
        <f>IF(LEN(Table2[[#This Row],[!Name]]) &gt; 0, Table2[[#This Row],[!Name]], "rg:None")</f>
        <v>newFairMarketValuePrice</v>
      </c>
      <c r="V31" s="14" t="str">
        <f>IF(LEN(Table2[[#This Row],[!Description]]) &gt; 0, Table2[[#This Row],[!Description]], "rg:None")</f>
        <v>rg:None</v>
      </c>
      <c r="W31" s="14" t="str">
        <f>IF(LEN(Table2[[#This Row],[!FK]])&gt;0,Table2[[#This Row],[!FK]],"rg:None")</f>
        <v>rg:None</v>
      </c>
      <c r="X31" s="14" t="str">
        <f>IF(LEN(concatif2(A:A,Table2[[#This Row],[!Table]],G:G,"Y",D:D,",")) &gt; 0,"rg:[ { 'req' : '"&amp;concatif2(A:A,Table2[[#This Row],[!Table]],G:G,"Y",D:D,"' }, { 'req': '")&amp;"'} ]","rg:[]")</f>
        <v>rg:[ { 'req' : 'id' }, { 'req': 'logEntryTime' }, { 'req': 'newCompliancePeriod' }, { 'req': 'newStatus' }, { 'req': 'newNumberOfCredits'} ]</v>
      </c>
      <c r="Y31" s="14" t="str">
        <f>IF(LEN(Table2[[#This Row],[!Unique]])&gt;0,IF(Table2[[#This Row],[!Type]] = "id", "rg:None","rg:True"),"rg:None")</f>
        <v>rg:None</v>
      </c>
    </row>
    <row r="32" spans="1:25" s="4" customFormat="1" x14ac:dyDescent="0.3">
      <c r="A32" s="47" t="s">
        <v>219</v>
      </c>
      <c r="B32" s="47" t="s">
        <v>12</v>
      </c>
      <c r="C32" s="3"/>
      <c r="D32" s="49" t="s">
        <v>240</v>
      </c>
      <c r="E32" s="29"/>
      <c r="F32" s="3"/>
      <c r="G32" s="3"/>
      <c r="H32" s="20"/>
      <c r="I32" s="4" t="str">
        <f t="shared" si="4"/>
        <v>Defs</v>
      </c>
      <c r="J32" s="14" t="str">
        <f>IF(Table2[[#This Row],[!Type]]=J$1, J$1,"rg:None")</f>
        <v>rg:None</v>
      </c>
      <c r="K32" s="14" t="str">
        <f>IF(Table2[[#This Row],[!Type]]=K$1, K$1,"rg:None")</f>
        <v>rg:None</v>
      </c>
      <c r="L32" s="14" t="str">
        <f>IF(Table2[[#This Row],[!Type]]=L$1, L$1,"rg:None")</f>
        <v>rg:None</v>
      </c>
      <c r="M32" s="14" t="str">
        <f>IF(Table2[[#This Row],[!Type]]=M$1, M$1,"rg:None")</f>
        <v>rg:None</v>
      </c>
      <c r="N32" s="14" t="str">
        <f>IF(Table2[[#This Row],[!Type]]=N$1, N$1,"rg:None")</f>
        <v>integer</v>
      </c>
      <c r="O32" s="1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4" t="str">
        <f>IF(LEN(Table2[[#This Row],[!Length]]) &gt; 0, Table2[[#This Row],[!Length]], "rg:None")</f>
        <v>rg:None</v>
      </c>
      <c r="U32" s="14" t="str">
        <f>IF(LEN(Table2[[#This Row],[!Name]]) &gt; 0, Table2[[#This Row],[!Name]], "rg:None")</f>
        <v>newFuelSupplierBalanceAtTransactionTime</v>
      </c>
      <c r="V32" s="14" t="str">
        <f>IF(LEN(Table2[[#This Row],[!Description]]) &gt; 0, Table2[[#This Row],[!Description]], "rg:None")</f>
        <v>rg:None</v>
      </c>
      <c r="W32" s="14" t="str">
        <f>IF(LEN(Table2[[#This Row],[!FK]])&gt;0,Table2[[#This Row],[!FK]],"rg:None")</f>
        <v>rg:None</v>
      </c>
      <c r="X32" s="14" t="str">
        <f>IF(LEN(concatif2(A:A,Table2[[#This Row],[!Table]],G:G,"Y",D:D,",")) &gt; 0,"rg:[ { 'req' : '"&amp;concatif2(A:A,Table2[[#This Row],[!Table]],G:G,"Y",D:D,"' }, { 'req': '")&amp;"'} ]","rg:[]")</f>
        <v>rg:[ { 'req' : 'id' }, { 'req': 'logEntryTime' }, { 'req': 'newCompliancePeriod' }, { 'req': 'newStatus' }, { 'req': 'newNumberOfCredits'} ]</v>
      </c>
      <c r="Y32" s="14" t="str">
        <f>IF(LEN(Table2[[#This Row],[!Unique]])&gt;0,IF(Table2[[#This Row],[!Type]] = "id", "rg:None","rg:True"),"rg:None")</f>
        <v>rg:None</v>
      </c>
    </row>
    <row r="33" spans="1:25" s="4" customFormat="1" x14ac:dyDescent="0.3">
      <c r="A33" s="64" t="s">
        <v>263</v>
      </c>
      <c r="B33" s="64" t="s">
        <v>4</v>
      </c>
      <c r="C33" s="3"/>
      <c r="D33" s="64" t="s">
        <v>263</v>
      </c>
      <c r="E33" s="53"/>
      <c r="F33" s="6"/>
      <c r="G33" s="16"/>
      <c r="H33" s="16"/>
      <c r="I33" s="4" t="str">
        <f t="shared" ref="I33:I42" si="5">IF(LEN(A33) &gt; 0,"Defs","-")</f>
        <v>Defs</v>
      </c>
      <c r="J33" s="14" t="str">
        <f>IF(Table2[[#This Row],[!Type]]=J$1, J$1,"rg:None")</f>
        <v>rg:None</v>
      </c>
      <c r="K33" s="14" t="str">
        <f>IF(Table2[[#This Row],[!Type]]=K$1, K$1,"rg:None")</f>
        <v>rg:None</v>
      </c>
      <c r="L33" s="14" t="str">
        <f>IF(Table2[[#This Row],[!Type]]=L$1, L$1,"rg:None")</f>
        <v>rg:None</v>
      </c>
      <c r="M33" s="14" t="str">
        <f>IF(Table2[[#This Row],[!Type]]=M$1, M$1,"rg:None")</f>
        <v>rg:None</v>
      </c>
      <c r="N33" s="14" t="str">
        <f>IF(Table2[[#This Row],[!Type]]=N$1, N$1,"rg:None")</f>
        <v>rg:None</v>
      </c>
      <c r="O33" s="1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14" t="str">
        <f>IF(LEN(Table2[[#This Row],[!Length]]) &gt; 0, Table2[[#This Row],[!Length]], "rg:None")</f>
        <v>rg:None</v>
      </c>
      <c r="U33" s="14" t="str">
        <f>IF(LEN(Table2[[#This Row],[!Name]]) &gt; 0, Table2[[#This Row],[!Name]], "rg:None")</f>
        <v>Offer</v>
      </c>
      <c r="V33" s="14" t="str">
        <f>IF(LEN(Table2[[#This Row],[!Description]]) &gt; 0, Table2[[#This Row],[!Description]], "rg:None")</f>
        <v>rg:None</v>
      </c>
      <c r="W33" s="14" t="str">
        <f>IF(LEN(Table2[[#This Row],[!FK]])&gt;0,Table2[[#This Row],[!FK]],"rg:None")</f>
        <v>rg:None</v>
      </c>
      <c r="X33" s="14" t="str">
        <f>IF(LEN(concatif2(A:A,Table2[[#This Row],[!Table]],G:G,"Y",D:D,",")) &gt; 0,"rg:[ { 'req' : '"&amp;concatif2(A:A,Table2[[#This Row],[!Table]],G:G,"Y",D:D,"' }, { 'req': '")&amp;"'} ]","rg:[]")</f>
        <v>rg:[ { 'req' : 'id' }, { 'req': 'fuelSupplier' }, { 'req': 'status' }, { 'req': 'buyOrSell' }, { 'req': 'numberOfCredits'} ]</v>
      </c>
      <c r="Y33" s="14" t="str">
        <f>IF(LEN(Table2[[#This Row],[!Unique]])&gt;0,IF(Table2[[#This Row],[!Type]] = "id", "rg:None","rg:True"),"rg:None")</f>
        <v>rg:None</v>
      </c>
    </row>
    <row r="34" spans="1:25" s="4" customFormat="1" x14ac:dyDescent="0.3">
      <c r="A34" s="64" t="s">
        <v>263</v>
      </c>
      <c r="B34" s="64" t="s">
        <v>6</v>
      </c>
      <c r="C34" s="3"/>
      <c r="D34" s="64" t="s">
        <v>6</v>
      </c>
      <c r="E34" s="53"/>
      <c r="F34" s="6"/>
      <c r="G34" s="65" t="s">
        <v>69</v>
      </c>
      <c r="H34" s="65" t="s">
        <v>69</v>
      </c>
      <c r="I34" s="4" t="str">
        <f t="shared" si="5"/>
        <v>Defs</v>
      </c>
      <c r="J34" s="14" t="str">
        <f>IF(Table2[[#This Row],[!Type]]=J$1, J$1,"rg:None")</f>
        <v>rg:None</v>
      </c>
      <c r="K34" s="14" t="str">
        <f>IF(Table2[[#This Row],[!Type]]=K$1, K$1,"rg:None")</f>
        <v>rg:None</v>
      </c>
      <c r="L34" s="14" t="str">
        <f>IF(Table2[[#This Row],[!Type]]=L$1, L$1,"rg:None")</f>
        <v>rg:None</v>
      </c>
      <c r="M34" s="14" t="str">
        <f>IF(Table2[[#This Row],[!Type]]=M$1, M$1,"rg:None")</f>
        <v>id</v>
      </c>
      <c r="N34" s="14" t="str">
        <f>IF(Table2[[#This Row],[!Type]]=N$1, N$1,"rg:None")</f>
        <v>rg:None</v>
      </c>
      <c r="O34" s="1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14" t="str">
        <f>IF(LEN(Table2[[#This Row],[!Length]]) &gt; 0, Table2[[#This Row],[!Length]], "rg:None")</f>
        <v>rg:None</v>
      </c>
      <c r="U34" s="14" t="str">
        <f>IF(LEN(Table2[[#This Row],[!Name]]) &gt; 0, Table2[[#This Row],[!Name]], "rg:None")</f>
        <v>id</v>
      </c>
      <c r="V34" s="14" t="str">
        <f>IF(LEN(Table2[[#This Row],[!Description]]) &gt; 0, Table2[[#This Row],[!Description]], "rg:None")</f>
        <v>rg:None</v>
      </c>
      <c r="W34" s="14" t="str">
        <f>IF(LEN(Table2[[#This Row],[!FK]])&gt;0,Table2[[#This Row],[!FK]],"rg:None")</f>
        <v>rg:None</v>
      </c>
      <c r="X34" s="14" t="str">
        <f>IF(LEN(concatif2(A:A,Table2[[#This Row],[!Table]],G:G,"Y",D:D,",")) &gt; 0,"rg:[ { 'req' : '"&amp;concatif2(A:A,Table2[[#This Row],[!Table]],G:G,"Y",D:D,"' }, { 'req': '")&amp;"'} ]","rg:[]")</f>
        <v>rg:[ { 'req' : 'id' }, { 'req': 'fuelSupplier' }, { 'req': 'status' }, { 'req': 'buyOrSell' }, { 'req': 'numberOfCredits'} ]</v>
      </c>
      <c r="Y34" s="14" t="str">
        <f>IF(LEN(Table2[[#This Row],[!Unique]])&gt;0,IF(Table2[[#This Row],[!Type]] = "id", "rg:None","rg:True"),"rg:None")</f>
        <v>rg:None</v>
      </c>
    </row>
    <row r="35" spans="1:25" s="4" customFormat="1" x14ac:dyDescent="0.3">
      <c r="A35" s="64" t="s">
        <v>263</v>
      </c>
      <c r="B35" s="64" t="s">
        <v>8</v>
      </c>
      <c r="C35" s="3"/>
      <c r="D35" s="64" t="s">
        <v>222</v>
      </c>
      <c r="E35" s="53"/>
      <c r="F35" s="66" t="s">
        <v>227</v>
      </c>
      <c r="G35" s="65" t="s">
        <v>69</v>
      </c>
      <c r="H35" s="16"/>
      <c r="I35" s="4" t="str">
        <f t="shared" si="5"/>
        <v>Defs</v>
      </c>
      <c r="J35" s="14" t="str">
        <f>IF(Table2[[#This Row],[!Type]]=J$1, J$1,"rg:None")</f>
        <v>rg:None</v>
      </c>
      <c r="K35" s="14" t="str">
        <f>IF(Table2[[#This Row],[!Type]]=K$1, K$1,"rg:None")</f>
        <v>rg:None</v>
      </c>
      <c r="L35" s="14" t="str">
        <f>IF(Table2[[#This Row],[!Type]]=L$1, L$1,"rg:None")</f>
        <v>rg:None</v>
      </c>
      <c r="M35" s="14" t="str">
        <f>IF(Table2[[#This Row],[!Type]]=M$1, M$1,"rg:None")</f>
        <v>rg:None</v>
      </c>
      <c r="N35" s="14" t="str">
        <f>IF(Table2[[#This Row],[!Type]]=N$1, N$1,"rg:None")</f>
        <v>rg:None</v>
      </c>
      <c r="O35" s="1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4" t="str">
        <f>IF(LEN(Table2[[#This Row],[!Length]]) &gt; 0, Table2[[#This Row],[!Length]], "rg:None")</f>
        <v>rg:None</v>
      </c>
      <c r="U35" s="14" t="str">
        <f>IF(LEN(Table2[[#This Row],[!Name]]) &gt; 0, Table2[[#This Row],[!Name]], "rg:None")</f>
        <v>fuelSupplier</v>
      </c>
      <c r="V35" s="14" t="str">
        <f>IF(LEN(Table2[[#This Row],[!Description]]) &gt; 0, Table2[[#This Row],[!Description]], "rg:None")</f>
        <v>rg:None</v>
      </c>
      <c r="W35" s="14" t="str">
        <f>IF(LEN(Table2[[#This Row],[!FK]])&gt;0,Table2[[#This Row],[!FK]],"rg:None")</f>
        <v>FuelSupplier</v>
      </c>
      <c r="X35" s="14" t="str">
        <f>IF(LEN(concatif2(A:A,Table2[[#This Row],[!Table]],G:G,"Y",D:D,",")) &gt; 0,"rg:[ { 'req' : '"&amp;concatif2(A:A,Table2[[#This Row],[!Table]],G:G,"Y",D:D,"' }, { 'req': '")&amp;"'} ]","rg:[]")</f>
        <v>rg:[ { 'req' : 'id' }, { 'req': 'fuelSupplier' }, { 'req': 'status' }, { 'req': 'buyOrSell' }, { 'req': 'numberOfCredits'} ]</v>
      </c>
      <c r="Y35" s="14" t="str">
        <f>IF(LEN(Table2[[#This Row],[!Unique]])&gt;0,IF(Table2[[#This Row],[!Type]] = "id", "rg:None","rg:True"),"rg:None")</f>
        <v>rg:None</v>
      </c>
    </row>
    <row r="36" spans="1:25" s="4" customFormat="1" x14ac:dyDescent="0.3">
      <c r="A36" s="64" t="s">
        <v>263</v>
      </c>
      <c r="B36" s="64" t="s">
        <v>7</v>
      </c>
      <c r="C36" s="3"/>
      <c r="D36" s="64" t="s">
        <v>9</v>
      </c>
      <c r="E36" s="53"/>
      <c r="F36" s="6"/>
      <c r="G36" s="65" t="s">
        <v>69</v>
      </c>
      <c r="H36" s="16"/>
      <c r="I36" s="4" t="str">
        <f t="shared" si="5"/>
        <v>Defs</v>
      </c>
      <c r="J36" s="14" t="str">
        <f>IF(Table2[[#This Row],[!Type]]=J$1, J$1,"rg:None")</f>
        <v>rg:None</v>
      </c>
      <c r="K36" s="14" t="str">
        <f>IF(Table2[[#This Row],[!Type]]=K$1, K$1,"rg:None")</f>
        <v>rg:None</v>
      </c>
      <c r="L36" s="14" t="str">
        <f>IF(Table2[[#This Row],[!Type]]=L$1, L$1,"rg:None")</f>
        <v>rg:None</v>
      </c>
      <c r="M36" s="14" t="str">
        <f>IF(Table2[[#This Row],[!Type]]=M$1, M$1,"rg:None")</f>
        <v>rg:None</v>
      </c>
      <c r="N36" s="14" t="str">
        <f>IF(Table2[[#This Row],[!Type]]=N$1, N$1,"rg:None")</f>
        <v>rg:None</v>
      </c>
      <c r="O36" s="14" t="str">
        <f>IF(Table2[[#This Row],[!Type]]=O$1, O$1,"rg:None")</f>
        <v>rg:None</v>
      </c>
      <c r="P36" s="4" t="str">
        <f>IF(Table2[[#This Row],[!Type]]=P$1, P$1,"rg:None")</f>
        <v>rg:None</v>
      </c>
      <c r="Q36" s="4" t="str">
        <f>IF(Table2[[#This Row],[!Type]]=Q$1, Q$1,"rg:None")</f>
        <v>rg:None</v>
      </c>
      <c r="R36" s="4" t="str">
        <f>IF(Table2[[#This Row],[!Type]]=R$1, R$1,"rg:None")</f>
        <v>string</v>
      </c>
      <c r="S36" s="4" t="str">
        <f>IF(Table2[[#This Row],[!Type]]=S$1, S$1,"rg:None")</f>
        <v>rg:None</v>
      </c>
      <c r="T36" s="14" t="str">
        <f>IF(LEN(Table2[[#This Row],[!Length]]) &gt; 0, Table2[[#This Row],[!Length]], "rg:None")</f>
        <v>rg:None</v>
      </c>
      <c r="U36" s="14" t="str">
        <f>IF(LEN(Table2[[#This Row],[!Name]]) &gt; 0, Table2[[#This Row],[!Name]], "rg:None")</f>
        <v>status</v>
      </c>
      <c r="V36" s="14" t="str">
        <f>IF(LEN(Table2[[#This Row],[!Description]]) &gt; 0, Table2[[#This Row],[!Description]], "rg:None")</f>
        <v>rg:None</v>
      </c>
      <c r="W36" s="14" t="str">
        <f>IF(LEN(Table2[[#This Row],[!FK]])&gt;0,Table2[[#This Row],[!FK]],"rg:None")</f>
        <v>rg:None</v>
      </c>
      <c r="X36" s="14" t="str">
        <f>IF(LEN(concatif2(A:A,Table2[[#This Row],[!Table]],G:G,"Y",D:D,",")) &gt; 0,"rg:[ { 'req' : '"&amp;concatif2(A:A,Table2[[#This Row],[!Table]],G:G,"Y",D:D,"' }, { 'req': '")&amp;"'} ]","rg:[]")</f>
        <v>rg:[ { 'req' : 'id' }, { 'req': 'fuelSupplier' }, { 'req': 'status' }, { 'req': 'buyOrSell' }, { 'req': 'numberOfCredits'} ]</v>
      </c>
      <c r="Y36" s="14" t="str">
        <f>IF(LEN(Table2[[#This Row],[!Unique]])&gt;0,IF(Table2[[#This Row],[!Type]] = "id", "rg:None","rg:True"),"rg:None")</f>
        <v>rg:None</v>
      </c>
    </row>
    <row r="37" spans="1:25" s="4" customFormat="1" x14ac:dyDescent="0.3">
      <c r="A37" s="64" t="s">
        <v>263</v>
      </c>
      <c r="B37" s="64" t="s">
        <v>7</v>
      </c>
      <c r="C37" s="3"/>
      <c r="D37" s="64" t="s">
        <v>264</v>
      </c>
      <c r="E37" s="53"/>
      <c r="F37" s="6"/>
      <c r="G37" s="65" t="s">
        <v>69</v>
      </c>
      <c r="H37" s="16"/>
      <c r="I37" s="4" t="str">
        <f t="shared" si="5"/>
        <v>Defs</v>
      </c>
      <c r="J37" s="14" t="str">
        <f>IF(Table2[[#This Row],[!Type]]=J$1, J$1,"rg:None")</f>
        <v>rg:None</v>
      </c>
      <c r="K37" s="14" t="str">
        <f>IF(Table2[[#This Row],[!Type]]=K$1, K$1,"rg:None")</f>
        <v>rg:None</v>
      </c>
      <c r="L37" s="14" t="str">
        <f>IF(Table2[[#This Row],[!Type]]=L$1, L$1,"rg:None")</f>
        <v>rg:None</v>
      </c>
      <c r="M37" s="14" t="str">
        <f>IF(Table2[[#This Row],[!Type]]=M$1, M$1,"rg:None")</f>
        <v>rg:None</v>
      </c>
      <c r="N37" s="14" t="str">
        <f>IF(Table2[[#This Row],[!Type]]=N$1, N$1,"rg:None")</f>
        <v>rg:None</v>
      </c>
      <c r="O37" s="1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14" t="str">
        <f>IF(LEN(Table2[[#This Row],[!Length]]) &gt; 0, Table2[[#This Row],[!Length]], "rg:None")</f>
        <v>rg:None</v>
      </c>
      <c r="U37" s="14" t="str">
        <f>IF(LEN(Table2[[#This Row],[!Name]]) &gt; 0, Table2[[#This Row],[!Name]], "rg:None")</f>
        <v>buyOrSell</v>
      </c>
      <c r="V37" s="14" t="str">
        <f>IF(LEN(Table2[[#This Row],[!Description]]) &gt; 0, Table2[[#This Row],[!Description]], "rg:None")</f>
        <v>rg:None</v>
      </c>
      <c r="W37" s="14" t="str">
        <f>IF(LEN(Table2[[#This Row],[!FK]])&gt;0,Table2[[#This Row],[!FK]],"rg:None")</f>
        <v>rg:None</v>
      </c>
      <c r="X37" s="14" t="str">
        <f>IF(LEN(concatif2(A:A,Table2[[#This Row],[!Table]],G:G,"Y",D:D,",")) &gt; 0,"rg:[ { 'req' : '"&amp;concatif2(A:A,Table2[[#This Row],[!Table]],G:G,"Y",D:D,"' }, { 'req': '")&amp;"'} ]","rg:[]")</f>
        <v>rg:[ { 'req' : 'id' }, { 'req': 'fuelSupplier' }, { 'req': 'status' }, { 'req': 'buyOrSell' }, { 'req': 'numberOfCredits'} ]</v>
      </c>
      <c r="Y37" s="14" t="str">
        <f>IF(LEN(Table2[[#This Row],[!Unique]])&gt;0,IF(Table2[[#This Row],[!Type]] = "id", "rg:None","rg:True"),"rg:None")</f>
        <v>rg:None</v>
      </c>
    </row>
    <row r="38" spans="1:25" s="4" customFormat="1" x14ac:dyDescent="0.3">
      <c r="A38" s="64" t="s">
        <v>263</v>
      </c>
      <c r="B38" s="64" t="s">
        <v>12</v>
      </c>
      <c r="C38" s="3"/>
      <c r="D38" s="64" t="s">
        <v>225</v>
      </c>
      <c r="E38" s="53"/>
      <c r="F38" s="6"/>
      <c r="G38" s="65" t="s">
        <v>69</v>
      </c>
      <c r="H38" s="16"/>
      <c r="I38" s="4" t="str">
        <f t="shared" si="5"/>
        <v>Defs</v>
      </c>
      <c r="J38" s="14" t="str">
        <f>IF(Table2[[#This Row],[!Type]]=J$1, J$1,"rg:None")</f>
        <v>rg:None</v>
      </c>
      <c r="K38" s="14" t="str">
        <f>IF(Table2[[#This Row],[!Type]]=K$1, K$1,"rg:None")</f>
        <v>rg:None</v>
      </c>
      <c r="L38" s="14" t="str">
        <f>IF(Table2[[#This Row],[!Type]]=L$1, L$1,"rg:None")</f>
        <v>rg:None</v>
      </c>
      <c r="M38" s="14" t="str">
        <f>IF(Table2[[#This Row],[!Type]]=M$1, M$1,"rg:None")</f>
        <v>rg:None</v>
      </c>
      <c r="N38" s="14" t="str">
        <f>IF(Table2[[#This Row],[!Type]]=N$1, N$1,"rg:None")</f>
        <v>integer</v>
      </c>
      <c r="O38" s="1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4" t="str">
        <f>IF(LEN(Table2[[#This Row],[!Length]]) &gt; 0, Table2[[#This Row],[!Length]], "rg:None")</f>
        <v>rg:None</v>
      </c>
      <c r="U38" s="14" t="str">
        <f>IF(LEN(Table2[[#This Row],[!Name]]) &gt; 0, Table2[[#This Row],[!Name]], "rg:None")</f>
        <v>numberOfCredits</v>
      </c>
      <c r="V38" s="14" t="str">
        <f>IF(LEN(Table2[[#This Row],[!Description]]) &gt; 0, Table2[[#This Row],[!Description]], "rg:None")</f>
        <v>rg:None</v>
      </c>
      <c r="W38" s="14" t="str">
        <f>IF(LEN(Table2[[#This Row],[!FK]])&gt;0,Table2[[#This Row],[!FK]],"rg:None")</f>
        <v>rg:None</v>
      </c>
      <c r="X38" s="14" t="str">
        <f>IF(LEN(concatif2(A:A,Table2[[#This Row],[!Table]],G:G,"Y",D:D,",")) &gt; 0,"rg:[ { 'req' : '"&amp;concatif2(A:A,Table2[[#This Row],[!Table]],G:G,"Y",D:D,"' }, { 'req': '")&amp;"'} ]","rg:[]")</f>
        <v>rg:[ { 'req' : 'id' }, { 'req': 'fuelSupplier' }, { 'req': 'status' }, { 'req': 'buyOrSell' }, { 'req': 'numberOfCredits'} ]</v>
      </c>
      <c r="Y38" s="14" t="str">
        <f>IF(LEN(Table2[[#This Row],[!Unique]])&gt;0,IF(Table2[[#This Row],[!Type]] = "id", "rg:None","rg:True"),"rg:None")</f>
        <v>rg:None</v>
      </c>
    </row>
    <row r="39" spans="1:25" s="4" customFormat="1" x14ac:dyDescent="0.3">
      <c r="A39" s="64" t="s">
        <v>263</v>
      </c>
      <c r="B39" s="64" t="s">
        <v>12</v>
      </c>
      <c r="C39" s="3"/>
      <c r="D39" s="64" t="s">
        <v>268</v>
      </c>
      <c r="E39" s="53"/>
      <c r="F39" s="6"/>
      <c r="G39" s="16"/>
      <c r="H39" s="16"/>
      <c r="I39" s="4" t="str">
        <f>IF(LEN(A39) &gt; 0,"Defs","-")</f>
        <v>Defs</v>
      </c>
      <c r="J39" s="14" t="str">
        <f>IF(Table2[[#This Row],[!Type]]=J$1, J$1,"rg:None")</f>
        <v>rg:None</v>
      </c>
      <c r="K39" s="14" t="str">
        <f>IF(Table2[[#This Row],[!Type]]=K$1, K$1,"rg:None")</f>
        <v>rg:None</v>
      </c>
      <c r="L39" s="14" t="str">
        <f>IF(Table2[[#This Row],[!Type]]=L$1, L$1,"rg:None")</f>
        <v>rg:None</v>
      </c>
      <c r="M39" s="14" t="str">
        <f>IF(Table2[[#This Row],[!Type]]=M$1, M$1,"rg:None")</f>
        <v>rg:None</v>
      </c>
      <c r="N39" s="14" t="str">
        <f>IF(Table2[[#This Row],[!Type]]=N$1, N$1,"rg:None")</f>
        <v>integer</v>
      </c>
      <c r="O39" s="1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4" t="str">
        <f>IF(LEN(Table2[[#This Row],[!Length]]) &gt; 0, Table2[[#This Row],[!Length]], "rg:None")</f>
        <v>rg:None</v>
      </c>
      <c r="U39" s="14" t="str">
        <f>IF(LEN(Table2[[#This Row],[!Name]]) &gt; 0, Table2[[#This Row],[!Name]], "rg:None")</f>
        <v>numberOfViews</v>
      </c>
      <c r="V39" s="14" t="str">
        <f>IF(LEN(Table2[[#This Row],[!Description]]) &gt; 0, Table2[[#This Row],[!Description]], "rg:None")</f>
        <v>rg:None</v>
      </c>
      <c r="W39" s="14" t="str">
        <f>IF(LEN(Table2[[#This Row],[!FK]])&gt;0,Table2[[#This Row],[!FK]],"rg:None")</f>
        <v>rg:None</v>
      </c>
      <c r="X39" s="14" t="str">
        <f>IF(LEN(concatif2(A:A,Table2[[#This Row],[!Table]],G:G,"Y",D:D,",")) &gt; 0,"rg:[ { 'req' : '"&amp;concatif2(A:A,Table2[[#This Row],[!Table]],G:G,"Y",D:D,"' }, { 'req': '")&amp;"'} ]","rg:[]")</f>
        <v>rg:[ { 'req' : 'id' }, { 'req': 'fuelSupplier' }, { 'req': 'status' }, { 'req': 'buyOrSell' }, { 'req': 'numberOfCredits'} ]</v>
      </c>
      <c r="Y39" s="14" t="str">
        <f>IF(LEN(Table2[[#This Row],[!Unique]])&gt;0,IF(Table2[[#This Row],[!Type]] = "id", "rg:None","rg:True"),"rg:None")</f>
        <v>rg:None</v>
      </c>
    </row>
    <row r="40" spans="1:25" s="4" customFormat="1" x14ac:dyDescent="0.3">
      <c r="A40" s="64" t="s">
        <v>263</v>
      </c>
      <c r="B40" s="64" t="s">
        <v>11</v>
      </c>
      <c r="C40" s="3"/>
      <c r="D40" s="64" t="s">
        <v>265</v>
      </c>
      <c r="E40" s="53"/>
      <c r="F40" s="6"/>
      <c r="G40" s="16"/>
      <c r="H40" s="16"/>
      <c r="I40" s="4" t="str">
        <f t="shared" si="5"/>
        <v>Defs</v>
      </c>
      <c r="J40" s="14" t="str">
        <f>IF(Table2[[#This Row],[!Type]]=J$1, J$1,"rg:None")</f>
        <v>rg:None</v>
      </c>
      <c r="K40" s="14" t="str">
        <f>IF(Table2[[#This Row],[!Type]]=K$1, K$1,"rg:None")</f>
        <v>rg:None</v>
      </c>
      <c r="L40" s="14" t="str">
        <f>IF(Table2[[#This Row],[!Type]]=L$1, L$1,"rg:None")</f>
        <v>datetime</v>
      </c>
      <c r="M40" s="14" t="str">
        <f>IF(Table2[[#This Row],[!Type]]=M$1, M$1,"rg:None")</f>
        <v>rg:None</v>
      </c>
      <c r="N40" s="14" t="str">
        <f>IF(Table2[[#This Row],[!Type]]=N$1, N$1,"rg:None")</f>
        <v>rg:None</v>
      </c>
      <c r="O40" s="1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4" t="str">
        <f>IF(LEN(Table2[[#This Row],[!Length]]) &gt; 0, Table2[[#This Row],[!Length]], "rg:None")</f>
        <v>rg:None</v>
      </c>
      <c r="U40" s="14" t="str">
        <f>IF(LEN(Table2[[#This Row],[!Name]]) &gt; 0, Table2[[#This Row],[!Name]], "rg:None")</f>
        <v>datePosted</v>
      </c>
      <c r="V40" s="14" t="str">
        <f>IF(LEN(Table2[[#This Row],[!Description]]) &gt; 0, Table2[[#This Row],[!Description]], "rg:None")</f>
        <v>rg:None</v>
      </c>
      <c r="W40" s="14" t="str">
        <f>IF(LEN(Table2[[#This Row],[!FK]])&gt;0,Table2[[#This Row],[!FK]],"rg:None")</f>
        <v>rg:None</v>
      </c>
      <c r="X40" s="14" t="str">
        <f>IF(LEN(concatif2(A:A,Table2[[#This Row],[!Table]],G:G,"Y",D:D,",")) &gt; 0,"rg:[ { 'req' : '"&amp;concatif2(A:A,Table2[[#This Row],[!Table]],G:G,"Y",D:D,"' }, { 'req': '")&amp;"'} ]","rg:[]")</f>
        <v>rg:[ { 'req' : 'id' }, { 'req': 'fuelSupplier' }, { 'req': 'status' }, { 'req': 'buyOrSell' }, { 'req': 'numberOfCredits'} ]</v>
      </c>
      <c r="Y40" s="14" t="str">
        <f>IF(LEN(Table2[[#This Row],[!Unique]])&gt;0,IF(Table2[[#This Row],[!Type]] = "id", "rg:None","rg:True"),"rg:None")</f>
        <v>rg:None</v>
      </c>
    </row>
    <row r="41" spans="1:25" s="4" customFormat="1" x14ac:dyDescent="0.3">
      <c r="A41" s="64" t="s">
        <v>263</v>
      </c>
      <c r="B41" s="64" t="s">
        <v>7</v>
      </c>
      <c r="C41" s="3"/>
      <c r="D41" s="64" t="s">
        <v>266</v>
      </c>
      <c r="E41" s="53"/>
      <c r="F41" s="6"/>
      <c r="G41" s="16"/>
      <c r="H41" s="16"/>
      <c r="I41" s="4" t="str">
        <f t="shared" si="5"/>
        <v>Defs</v>
      </c>
      <c r="J41" s="14" t="str">
        <f>IF(Table2[[#This Row],[!Type]]=J$1, J$1,"rg:None")</f>
        <v>rg:None</v>
      </c>
      <c r="K41" s="14" t="str">
        <f>IF(Table2[[#This Row],[!Type]]=K$1, K$1,"rg:None")</f>
        <v>rg:None</v>
      </c>
      <c r="L41" s="14" t="str">
        <f>IF(Table2[[#This Row],[!Type]]=L$1, L$1,"rg:None")</f>
        <v>rg:None</v>
      </c>
      <c r="M41" s="14" t="str">
        <f>IF(Table2[[#This Row],[!Type]]=M$1, M$1,"rg:None")</f>
        <v>rg:None</v>
      </c>
      <c r="N41" s="14" t="str">
        <f>IF(Table2[[#This Row],[!Type]]=N$1, N$1,"rg:None")</f>
        <v>rg:None</v>
      </c>
      <c r="O41" s="1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14" t="str">
        <f>IF(LEN(Table2[[#This Row],[!Length]]) &gt; 0, Table2[[#This Row],[!Length]], "rg:None")</f>
        <v>rg:None</v>
      </c>
      <c r="U41" s="14" t="str">
        <f>IF(LEN(Table2[[#This Row],[!Name]]) &gt; 0, Table2[[#This Row],[!Name]], "rg:None")</f>
        <v>note</v>
      </c>
      <c r="V41" s="14" t="str">
        <f>IF(LEN(Table2[[#This Row],[!Description]]) &gt; 0, Table2[[#This Row],[!Description]], "rg:None")</f>
        <v>rg:None</v>
      </c>
      <c r="W41" s="14" t="str">
        <f>IF(LEN(Table2[[#This Row],[!FK]])&gt;0,Table2[[#This Row],[!FK]],"rg:None")</f>
        <v>rg:None</v>
      </c>
      <c r="X41" s="14" t="str">
        <f>IF(LEN(concatif2(A:A,Table2[[#This Row],[!Table]],G:G,"Y",D:D,",")) &gt; 0,"rg:[ { 'req' : '"&amp;concatif2(A:A,Table2[[#This Row],[!Table]],G:G,"Y",D:D,"' }, { 'req': '")&amp;"'} ]","rg:[]")</f>
        <v>rg:[ { 'req' : 'id' }, { 'req': 'fuelSupplier' }, { 'req': 'status' }, { 'req': 'buyOrSell' }, { 'req': 'numberOfCredits'} ]</v>
      </c>
      <c r="Y41" s="14" t="str">
        <f>IF(LEN(Table2[[#This Row],[!Unique]])&gt;0,IF(Table2[[#This Row],[!Type]] = "id", "rg:None","rg:True"),"rg:None")</f>
        <v>rg:None</v>
      </c>
    </row>
    <row r="42" spans="1:25" s="4" customFormat="1" x14ac:dyDescent="0.3">
      <c r="A42" s="64" t="s">
        <v>263</v>
      </c>
      <c r="B42" s="64" t="s">
        <v>27</v>
      </c>
      <c r="C42" s="3"/>
      <c r="D42" s="64" t="s">
        <v>114</v>
      </c>
      <c r="E42" s="53"/>
      <c r="F42" s="66" t="s">
        <v>115</v>
      </c>
      <c r="G42" s="16"/>
      <c r="H42" s="16"/>
      <c r="I42" s="4" t="str">
        <f t="shared" si="5"/>
        <v>Defs</v>
      </c>
      <c r="J42" s="14" t="str">
        <f>IF(Table2[[#This Row],[!Type]]=J$1, J$1,"rg:None")</f>
        <v>rg:None</v>
      </c>
      <c r="K42" s="14" t="str">
        <f>IF(Table2[[#This Row],[!Type]]=K$1, K$1,"rg:None")</f>
        <v>rg:None</v>
      </c>
      <c r="L42" s="14" t="str">
        <f>IF(Table2[[#This Row],[!Type]]=L$1, L$1,"rg:None")</f>
        <v>rg:None</v>
      </c>
      <c r="M42" s="14" t="str">
        <f>IF(Table2[[#This Row],[!Type]]=M$1, M$1,"rg:None")</f>
        <v>rg:None</v>
      </c>
      <c r="N42" s="14" t="str">
        <f>IF(Table2[[#This Row],[!Type]]=N$1, N$1,"rg:None")</f>
        <v>rg:None</v>
      </c>
      <c r="O42" s="14" t="str">
        <f>IF(Table2[[#This Row],[!Type]]=O$1, O$1,"rg:None")</f>
        <v>rg:None</v>
      </c>
      <c r="P42" s="4" t="str">
        <f>IF(Table2[[#This Row],[!Type]]=P$1, P$1,"rg:None")</f>
        <v>links</v>
      </c>
      <c r="Q42" s="4" t="str">
        <f>IF(Table2[[#This Row],[!Type]]=Q$1, Q$1,"rg:None")</f>
        <v>rg:None</v>
      </c>
      <c r="R42" s="4" t="str">
        <f>IF(Table2[[#This Row],[!Type]]=R$1, R$1,"rg:None")</f>
        <v>rg:None</v>
      </c>
      <c r="S42" s="4" t="str">
        <f>IF(Table2[[#This Row],[!Type]]=S$1, S$1,"rg:None")</f>
        <v>rg:None</v>
      </c>
      <c r="T42" s="14" t="str">
        <f>IF(LEN(Table2[[#This Row],[!Length]]) &gt; 0, Table2[[#This Row],[!Length]], "rg:None")</f>
        <v>rg:None</v>
      </c>
      <c r="U42" s="14" t="str">
        <f>IF(LEN(Table2[[#This Row],[!Name]]) &gt; 0, Table2[[#This Row],[!Name]], "rg:None")</f>
        <v>history</v>
      </c>
      <c r="V42" s="14" t="str">
        <f>IF(LEN(Table2[[#This Row],[!Description]]) &gt; 0, Table2[[#This Row],[!Description]], "rg:None")</f>
        <v>rg:None</v>
      </c>
      <c r="W42" s="14" t="str">
        <f>IF(LEN(Table2[[#This Row],[!FK]])&gt;0,Table2[[#This Row],[!FK]],"rg:None")</f>
        <v>History</v>
      </c>
      <c r="X42" s="14" t="str">
        <f>IF(LEN(concatif2(A:A,Table2[[#This Row],[!Table]],G:G,"Y",D:D,",")) &gt; 0,"rg:[ { 'req' : '"&amp;concatif2(A:A,Table2[[#This Row],[!Table]],G:G,"Y",D:D,"' }, { 'req': '")&amp;"'} ]","rg:[]")</f>
        <v>rg:[ { 'req' : 'id' }, { 'req': 'fuelSupplier' }, { 'req': 'status' }, { 'req': 'buyOrSell' }, { 'req': 'numberOfCredits'} ]</v>
      </c>
      <c r="Y42" s="14" t="str">
        <f>IF(LEN(Table2[[#This Row],[!Unique]])&gt;0,IF(Table2[[#This Row],[!Type]] = "id", "rg:None","rg:True"),"rg:None")</f>
        <v>rg:None</v>
      </c>
    </row>
    <row r="43" spans="1:25" s="4" customFormat="1" x14ac:dyDescent="0.35">
      <c r="A43" s="47" t="s">
        <v>227</v>
      </c>
      <c r="B43" s="3" t="s">
        <v>4</v>
      </c>
      <c r="C43" s="3"/>
      <c r="D43" s="47" t="s">
        <v>227</v>
      </c>
      <c r="E43" s="23"/>
      <c r="F43" s="3" t="s">
        <v>5</v>
      </c>
      <c r="I43" s="5" t="str">
        <f t="shared" si="4"/>
        <v>Defs</v>
      </c>
      <c r="J43" t="str">
        <f>IF(Table2[[#This Row],[!Type]]=J$1, J$1,"rg:None")</f>
        <v>rg:None</v>
      </c>
      <c r="K43" t="str">
        <f>IF(Table2[[#This Row],[!Type]]=K$1, K$1,"rg:None")</f>
        <v>rg:None</v>
      </c>
      <c r="L43" t="str">
        <f>IF(Table2[[#This Row],[!Type]]=L$1, L$1,"rg:None")</f>
        <v>rg:None</v>
      </c>
      <c r="M43" t="str">
        <f>IF(Table2[[#This Row],[!Type]]=M$1, M$1,"rg:None")</f>
        <v>rg:None</v>
      </c>
      <c r="N43" s="9" t="str">
        <f>IF(Table2[[#This Row],[!Type]]=N$1, N$1,"rg:None")</f>
        <v>rg:None</v>
      </c>
      <c r="O43" s="9" t="str">
        <f>IF(Table2[[#This Row],[!Type]]=O$1, O$1,"rg:None")</f>
        <v>rg:None</v>
      </c>
      <c r="P43" s="5" t="str">
        <f>IF(Table2[[#This Row],[!Type]]=P$1, P$1,"rg:None")</f>
        <v>rg:None</v>
      </c>
      <c r="Q43" s="5" t="str">
        <f>IF(Table2[[#This Row],[!Type]]=Q$1, Q$1,"rg:None")</f>
        <v>rg:None</v>
      </c>
      <c r="R43" s="5" t="str">
        <f>IF(Table2[[#This Row],[!Type]]=R$1, R$1,"rg:None")</f>
        <v>rg:None</v>
      </c>
      <c r="S43" s="5" t="str">
        <f>IF(Table2[[#This Row],[!Type]]=S$1, S$1,"rg:None")</f>
        <v>table</v>
      </c>
      <c r="T43" s="9" t="str">
        <f>IF(LEN(Table2[[#This Row],[!Length]]) &gt; 0, Table2[[#This Row],[!Length]], "rg:None")</f>
        <v>rg:None</v>
      </c>
      <c r="U43" s="9" t="str">
        <f>IF(LEN(Table2[[#This Row],[!Name]]) &gt; 0, Table2[[#This Row],[!Name]], "rg:None")</f>
        <v>FuelSupplier</v>
      </c>
      <c r="V43" s="9" t="str">
        <f>IF(LEN(Table2[[#This Row],[!Description]]) &gt; 0, Table2[[#This Row],[!Description]], "rg:None")</f>
        <v>rg:None</v>
      </c>
      <c r="W43" s="9" t="str">
        <f>IF(LEN(Table2[[#This Row],[!FK]])&gt;0,Table2[[#This Row],[!FK]],"rg:None")</f>
        <v>rg:None</v>
      </c>
      <c r="X43" s="9" t="str">
        <f>IF(LEN(concatif2(A:A,Table2[[#This Row],[!Table]],G:G,"Y",D:D,",")) &gt; 0,"rg:[ { 'req' : '"&amp;concatif2(A:A,Table2[[#This Row],[!Table]],G:G,"Y",D:D,"' }, { 'req': '")&amp;"'} ]","rg:[]")</f>
        <v>rg:[ { 'req' : 'id' }, { 'req': 'name' }, { 'req': 'status' }, { 'req': 'dateCreated'} ]</v>
      </c>
      <c r="Y43" s="9" t="str">
        <f>IF(LEN(Table2[[#This Row],[!Unique]])&gt;0,IF(Table2[[#This Row],[!Type]] = "id", "rg:None","rg:True"),"rg:None")</f>
        <v>rg:None</v>
      </c>
    </row>
    <row r="44" spans="1:25" s="4" customFormat="1" x14ac:dyDescent="0.35">
      <c r="A44" s="47" t="s">
        <v>227</v>
      </c>
      <c r="B44" s="3" t="s">
        <v>6</v>
      </c>
      <c r="C44" s="3"/>
      <c r="D44" s="3" t="s">
        <v>6</v>
      </c>
      <c r="E44" s="23"/>
      <c r="F44" s="3" t="s">
        <v>5</v>
      </c>
      <c r="G44" s="4" t="s">
        <v>69</v>
      </c>
      <c r="H44" s="32" t="s">
        <v>69</v>
      </c>
      <c r="I44" s="5" t="str">
        <f t="shared" si="4"/>
        <v>Defs</v>
      </c>
      <c r="J44" t="str">
        <f>IF(Table2[[#This Row],[!Type]]=J$1, J$1,"rg:None")</f>
        <v>rg:None</v>
      </c>
      <c r="K44" t="str">
        <f>IF(Table2[[#This Row],[!Type]]=K$1, K$1,"rg:None")</f>
        <v>rg:None</v>
      </c>
      <c r="L44" t="str">
        <f>IF(Table2[[#This Row],[!Type]]=L$1, L$1,"rg:None")</f>
        <v>rg:None</v>
      </c>
      <c r="M44" t="str">
        <f>IF(Table2[[#This Row],[!Type]]=M$1, M$1,"rg:None")</f>
        <v>id</v>
      </c>
      <c r="N44" s="9" t="str">
        <f>IF(Table2[[#This Row],[!Type]]=N$1, N$1,"rg:None")</f>
        <v>rg:None</v>
      </c>
      <c r="O44" s="9"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rg:None</v>
      </c>
      <c r="T44" s="9" t="str">
        <f>IF(LEN(Table2[[#This Row],[!Length]]) &gt; 0, Table2[[#This Row],[!Length]], "rg:None")</f>
        <v>rg:None</v>
      </c>
      <c r="U44" s="9" t="str">
        <f>IF(LEN(Table2[[#This Row],[!Name]]) &gt; 0, Table2[[#This Row],[!Name]], "rg:None")</f>
        <v>id</v>
      </c>
      <c r="V44" s="9" t="str">
        <f>IF(LEN(Table2[[#This Row],[!Description]]) &gt; 0, Table2[[#This Row],[!Description]], "rg:None")</f>
        <v>rg:None</v>
      </c>
      <c r="W44" s="9" t="str">
        <f>IF(LEN(Table2[[#This Row],[!FK]])&gt;0,Table2[[#This Row],[!FK]],"rg:None")</f>
        <v>rg:None</v>
      </c>
      <c r="X44" s="9" t="str">
        <f>IF(LEN(concatif2(A:A,Table2[[#This Row],[!Table]],G:G,"Y",D:D,",")) &gt; 0,"rg:[ { 'req' : '"&amp;concatif2(A:A,Table2[[#This Row],[!Table]],G:G,"Y",D:D,"' }, { 'req': '")&amp;"'} ]","rg:[]")</f>
        <v>rg:[ { 'req' : 'id' }, { 'req': 'name' }, { 'req': 'status' }, { 'req': 'dateCreated'} ]</v>
      </c>
      <c r="Y44" s="9" t="str">
        <f>IF(LEN(Table2[[#This Row],[!Unique]])&gt;0,IF(Table2[[#This Row],[!Type]] = "id", "rg:None","rg:True"),"rg:None")</f>
        <v>rg:None</v>
      </c>
    </row>
    <row r="45" spans="1:25" s="4" customFormat="1" x14ac:dyDescent="0.35">
      <c r="A45" s="47" t="s">
        <v>227</v>
      </c>
      <c r="B45" s="3" t="s">
        <v>7</v>
      </c>
      <c r="C45" s="3"/>
      <c r="D45" s="3" t="s">
        <v>17</v>
      </c>
      <c r="E45" s="23"/>
      <c r="F45" s="3" t="s">
        <v>5</v>
      </c>
      <c r="G45" s="32" t="s">
        <v>69</v>
      </c>
      <c r="H45" s="32" t="s">
        <v>69</v>
      </c>
      <c r="I45" s="5" t="str">
        <f t="shared" si="4"/>
        <v>Defs</v>
      </c>
      <c r="J45" t="str">
        <f>IF(Table2[[#This Row],[!Type]]=J$1, J$1,"rg:None")</f>
        <v>rg:None</v>
      </c>
      <c r="K45" t="str">
        <f>IF(Table2[[#This Row],[!Type]]=K$1, K$1,"rg:None")</f>
        <v>rg:None</v>
      </c>
      <c r="L45" t="str">
        <f>IF(Table2[[#This Row],[!Type]]=L$1, L$1,"rg:None")</f>
        <v>rg:None</v>
      </c>
      <c r="M45" t="str">
        <f>IF(Table2[[#This Row],[!Type]]=M$1, M$1,"rg:None")</f>
        <v>rg:None</v>
      </c>
      <c r="N45" s="9" t="str">
        <f>IF(Table2[[#This Row],[!Type]]=N$1, N$1,"rg:None")</f>
        <v>rg:None</v>
      </c>
      <c r="O45" s="9" t="str">
        <f>IF(Table2[[#This Row],[!Type]]=O$1, O$1,"rg:None")</f>
        <v>rg:None</v>
      </c>
      <c r="P45" s="5" t="str">
        <f>IF(Table2[[#This Row],[!Type]]=P$1, P$1,"rg:None")</f>
        <v>rg:None</v>
      </c>
      <c r="Q45" s="5" t="str">
        <f>IF(Table2[[#This Row],[!Type]]=Q$1, Q$1,"rg:None")</f>
        <v>rg:None</v>
      </c>
      <c r="R45" s="5" t="str">
        <f>IF(Table2[[#This Row],[!Type]]=R$1, R$1,"rg:None")</f>
        <v>string</v>
      </c>
      <c r="S45" s="5" t="str">
        <f>IF(Table2[[#This Row],[!Type]]=S$1, S$1,"rg:None")</f>
        <v>rg:None</v>
      </c>
      <c r="T45" s="9" t="str">
        <f>IF(LEN(Table2[[#This Row],[!Length]]) &gt; 0, Table2[[#This Row],[!Length]], "rg:None")</f>
        <v>rg:None</v>
      </c>
      <c r="U45" s="9" t="str">
        <f>IF(LEN(Table2[[#This Row],[!Name]]) &gt; 0, Table2[[#This Row],[!Name]], "rg:None")</f>
        <v>name</v>
      </c>
      <c r="V45" s="9" t="str">
        <f>IF(LEN(Table2[[#This Row],[!Description]]) &gt; 0, Table2[[#This Row],[!Description]], "rg:None")</f>
        <v>rg:None</v>
      </c>
      <c r="W45" s="9" t="str">
        <f>IF(LEN(Table2[[#This Row],[!FK]])&gt;0,Table2[[#This Row],[!FK]],"rg:None")</f>
        <v>rg:None</v>
      </c>
      <c r="X45" s="9" t="str">
        <f>IF(LEN(concatif2(A:A,Table2[[#This Row],[!Table]],G:G,"Y",D:D,",")) &gt; 0,"rg:[ { 'req' : '"&amp;concatif2(A:A,Table2[[#This Row],[!Table]],G:G,"Y",D:D,"' }, { 'req': '")&amp;"'} ]","rg:[]")</f>
        <v>rg:[ { 'req' : 'id' }, { 'req': 'name' }, { 'req': 'status' }, { 'req': 'dateCreated'} ]</v>
      </c>
      <c r="Y45" s="9" t="str">
        <f>IF(LEN(Table2[[#This Row],[!Unique]])&gt;0,IF(Table2[[#This Row],[!Type]] = "id", "rg:None","rg:True"),"rg:None")</f>
        <v>rg:True</v>
      </c>
    </row>
    <row r="46" spans="1:25" s="4" customFormat="1" x14ac:dyDescent="0.35">
      <c r="A46" s="47" t="s">
        <v>227</v>
      </c>
      <c r="B46" s="3" t="s">
        <v>7</v>
      </c>
      <c r="C46" s="3"/>
      <c r="D46" s="3" t="s">
        <v>9</v>
      </c>
      <c r="E46" s="23"/>
      <c r="F46" s="3" t="s">
        <v>5</v>
      </c>
      <c r="G46" s="32" t="s">
        <v>69</v>
      </c>
      <c r="I46" s="5" t="str">
        <f t="shared" si="4"/>
        <v>Defs</v>
      </c>
      <c r="J46" t="str">
        <f>IF(Table2[[#This Row],[!Type]]=J$1, J$1,"rg:None")</f>
        <v>rg:None</v>
      </c>
      <c r="K46" t="str">
        <f>IF(Table2[[#This Row],[!Type]]=K$1, K$1,"rg:None")</f>
        <v>rg:None</v>
      </c>
      <c r="L46" t="str">
        <f>IF(Table2[[#This Row],[!Type]]=L$1, L$1,"rg:None")</f>
        <v>rg:None</v>
      </c>
      <c r="M46" t="str">
        <f>IF(Table2[[#This Row],[!Type]]=M$1, M$1,"rg:None")</f>
        <v>rg:None</v>
      </c>
      <c r="N46" s="9" t="str">
        <f>IF(Table2[[#This Row],[!Type]]=N$1, N$1,"rg:None")</f>
        <v>rg:None</v>
      </c>
      <c r="O46" s="9"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9" t="str">
        <f>IF(LEN(Table2[[#This Row],[!Length]]) &gt; 0, Table2[[#This Row],[!Length]], "rg:None")</f>
        <v>rg:None</v>
      </c>
      <c r="U46" s="9" t="str">
        <f>IF(LEN(Table2[[#This Row],[!Name]]) &gt; 0, Table2[[#This Row],[!Name]], "rg:None")</f>
        <v>status</v>
      </c>
      <c r="V46" s="9" t="str">
        <f>IF(LEN(Table2[[#This Row],[!Description]]) &gt; 0, Table2[[#This Row],[!Description]], "rg:None")</f>
        <v>rg:None</v>
      </c>
      <c r="W46" s="9" t="str">
        <f>IF(LEN(Table2[[#This Row],[!FK]])&gt;0,Table2[[#This Row],[!FK]],"rg:None")</f>
        <v>rg:None</v>
      </c>
      <c r="X46" s="9" t="str">
        <f>IF(LEN(concatif2(A:A,Table2[[#This Row],[!Table]],G:G,"Y",D:D,",")) &gt; 0,"rg:[ { 'req' : '"&amp;concatif2(A:A,Table2[[#This Row],[!Table]],G:G,"Y",D:D,"' }, { 'req': '")&amp;"'} ]","rg:[]")</f>
        <v>rg:[ { 'req' : 'id' }, { 'req': 'name' }, { 'req': 'status' }, { 'req': 'dateCreated'} ]</v>
      </c>
      <c r="Y46" s="9" t="str">
        <f>IF(LEN(Table2[[#This Row],[!Unique]])&gt;0,IF(Table2[[#This Row],[!Type]] = "id", "rg:None","rg:True"),"rg:None")</f>
        <v>rg:None</v>
      </c>
    </row>
    <row r="47" spans="1:25" s="4" customFormat="1" x14ac:dyDescent="0.35">
      <c r="A47" s="47" t="s">
        <v>227</v>
      </c>
      <c r="B47" s="3" t="s">
        <v>11</v>
      </c>
      <c r="C47" s="3"/>
      <c r="D47" s="3" t="s">
        <v>18</v>
      </c>
      <c r="E47" s="23"/>
      <c r="F47" s="3" t="s">
        <v>5</v>
      </c>
      <c r="G47" s="32" t="s">
        <v>69</v>
      </c>
      <c r="I47" s="5" t="str">
        <f t="shared" si="4"/>
        <v>Defs</v>
      </c>
      <c r="J47" t="str">
        <f>IF(Table2[[#This Row],[!Type]]=J$1, J$1,"rg:None")</f>
        <v>rg:None</v>
      </c>
      <c r="K47" t="str">
        <f>IF(Table2[[#This Row],[!Type]]=K$1, K$1,"rg:None")</f>
        <v>rg:None</v>
      </c>
      <c r="L47" t="str">
        <f>IF(Table2[[#This Row],[!Type]]=L$1, L$1,"rg:None")</f>
        <v>datetime</v>
      </c>
      <c r="M47" t="str">
        <f>IF(Table2[[#This Row],[!Type]]=M$1, M$1,"rg:None")</f>
        <v>rg:None</v>
      </c>
      <c r="N47" s="9" t="str">
        <f>IF(Table2[[#This Row],[!Type]]=N$1, N$1,"rg:None")</f>
        <v>rg:None</v>
      </c>
      <c r="O47" s="9"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9" t="str">
        <f>IF(LEN(Table2[[#This Row],[!Length]]) &gt; 0, Table2[[#This Row],[!Length]], "rg:None")</f>
        <v>rg:None</v>
      </c>
      <c r="U47" s="9" t="str">
        <f>IF(LEN(Table2[[#This Row],[!Name]]) &gt; 0, Table2[[#This Row],[!Name]], "rg:None")</f>
        <v>dateCreated</v>
      </c>
      <c r="V47" s="9" t="str">
        <f>IF(LEN(Table2[[#This Row],[!Description]]) &gt; 0, Table2[[#This Row],[!Description]], "rg:None")</f>
        <v>rg:None</v>
      </c>
      <c r="W47" s="9" t="str">
        <f>IF(LEN(Table2[[#This Row],[!FK]])&gt;0,Table2[[#This Row],[!FK]],"rg:None")</f>
        <v>rg:None</v>
      </c>
      <c r="X47" s="9" t="str">
        <f>IF(LEN(concatif2(A:A,Table2[[#This Row],[!Table]],G:G,"Y",D:D,",")) &gt; 0,"rg:[ { 'req' : '"&amp;concatif2(A:A,Table2[[#This Row],[!Table]],G:G,"Y",D:D,"' }, { 'req': '")&amp;"'} ]","rg:[]")</f>
        <v>rg:[ { 'req' : 'id' }, { 'req': 'name' }, { 'req': 'status' }, { 'req': 'dateCreated'} ]</v>
      </c>
      <c r="Y47" s="9" t="str">
        <f>IF(LEN(Table2[[#This Row],[!Unique]])&gt;0,IF(Table2[[#This Row],[!Type]] = "id", "rg:None","rg:True"),"rg:None")</f>
        <v>rg:None</v>
      </c>
    </row>
    <row r="48" spans="1:25" s="4" customFormat="1" x14ac:dyDescent="0.35">
      <c r="A48" s="47" t="s">
        <v>227</v>
      </c>
      <c r="B48" s="3" t="s">
        <v>8</v>
      </c>
      <c r="C48" s="3"/>
      <c r="D48" s="3" t="s">
        <v>19</v>
      </c>
      <c r="E48" s="23"/>
      <c r="F48" s="20" t="s">
        <v>118</v>
      </c>
      <c r="I48" s="5" t="str">
        <f t="shared" si="4"/>
        <v>Defs</v>
      </c>
      <c r="J48" t="str">
        <f>IF(Table2[[#This Row],[!Type]]=J$1, J$1,"rg:None")</f>
        <v>rg:None</v>
      </c>
      <c r="K48" t="str">
        <f>IF(Table2[[#This Row],[!Type]]=K$1, K$1,"rg:None")</f>
        <v>rg:None</v>
      </c>
      <c r="L48" t="str">
        <f>IF(Table2[[#This Row],[!Type]]=L$1, L$1,"rg:None")</f>
        <v>rg:None</v>
      </c>
      <c r="M48" t="str">
        <f>IF(Table2[[#This Row],[!Type]]=M$1, M$1,"rg:None")</f>
        <v>rg:None</v>
      </c>
      <c r="N48" s="9" t="str">
        <f>IF(Table2[[#This Row],[!Type]]=N$1, N$1,"rg:None")</f>
        <v>rg:None</v>
      </c>
      <c r="O48" s="9" t="str">
        <f>IF(Table2[[#This Row],[!Type]]=O$1, O$1,"rg:None")</f>
        <v>rg:None</v>
      </c>
      <c r="P48" s="5" t="str">
        <f>IF(Table2[[#This Row],[!Type]]=P$1, P$1,"rg:None")</f>
        <v>rg:None</v>
      </c>
      <c r="Q48" s="5" t="str">
        <f>IF(Table2[[#This Row],[!Type]]=Q$1, Q$1,"rg:None")</f>
        <v>ref</v>
      </c>
      <c r="R48" s="5" t="str">
        <f>IF(Table2[[#This Row],[!Type]]=R$1, R$1,"rg:None")</f>
        <v>rg:None</v>
      </c>
      <c r="S48" s="5" t="str">
        <f>IF(Table2[[#This Row],[!Type]]=S$1, S$1,"rg:None")</f>
        <v>rg:None</v>
      </c>
      <c r="T48" s="9" t="str">
        <f>IF(LEN(Table2[[#This Row],[!Length]]) &gt; 0, Table2[[#This Row],[!Length]], "rg:None")</f>
        <v>rg:None</v>
      </c>
      <c r="U48" s="9" t="str">
        <f>IF(LEN(Table2[[#This Row],[!Name]]) &gt; 0, Table2[[#This Row],[!Name]], "rg:None")</f>
        <v>primaryContact</v>
      </c>
      <c r="V48" s="9" t="str">
        <f>IF(LEN(Table2[[#This Row],[!Description]]) &gt; 0, Table2[[#This Row],[!Description]], "rg:None")</f>
        <v>rg:None</v>
      </c>
      <c r="W48" s="9" t="str">
        <f>IF(LEN(Table2[[#This Row],[!FK]])&gt;0,Table2[[#This Row],[!FK]],"rg:None")</f>
        <v>Contact</v>
      </c>
      <c r="X48" s="9" t="str">
        <f>IF(LEN(concatif2(A:A,Table2[[#This Row],[!Table]],G:G,"Y",D:D,",")) &gt; 0,"rg:[ { 'req' : '"&amp;concatif2(A:A,Table2[[#This Row],[!Table]],G:G,"Y",D:D,"' }, { 'req': '")&amp;"'} ]","rg:[]")</f>
        <v>rg:[ { 'req' : 'id' }, { 'req': 'name' }, { 'req': 'status' }, { 'req': 'dateCreated'} ]</v>
      </c>
      <c r="Y48" s="9" t="str">
        <f>IF(LEN(Table2[[#This Row],[!Unique]])&gt;0,IF(Table2[[#This Row],[!Type]] = "id", "rg:None","rg:True"),"rg:None")</f>
        <v>rg:None</v>
      </c>
    </row>
    <row r="49" spans="1:25" s="4" customFormat="1" x14ac:dyDescent="0.35">
      <c r="A49" s="47" t="s">
        <v>227</v>
      </c>
      <c r="B49" s="3" t="s">
        <v>27</v>
      </c>
      <c r="C49" s="3"/>
      <c r="D49" s="3" t="s">
        <v>20</v>
      </c>
      <c r="E49" s="23"/>
      <c r="F49" s="20" t="s">
        <v>118</v>
      </c>
      <c r="I49" s="5" t="str">
        <f t="shared" si="4"/>
        <v>Defs</v>
      </c>
      <c r="J49" t="str">
        <f>IF(Table2[[#This Row],[!Type]]=J$1, J$1,"rg:None")</f>
        <v>rg:None</v>
      </c>
      <c r="K49" t="str">
        <f>IF(Table2[[#This Row],[!Type]]=K$1, K$1,"rg:None")</f>
        <v>rg:None</v>
      </c>
      <c r="L49" t="str">
        <f>IF(Table2[[#This Row],[!Type]]=L$1, L$1,"rg:None")</f>
        <v>rg:None</v>
      </c>
      <c r="M49" t="str">
        <f>IF(Table2[[#This Row],[!Type]]=M$1, M$1,"rg:None")</f>
        <v>rg:None</v>
      </c>
      <c r="N49" s="9" t="str">
        <f>IF(Table2[[#This Row],[!Type]]=N$1, N$1,"rg:None")</f>
        <v>rg:None</v>
      </c>
      <c r="O49" s="9" t="str">
        <f>IF(Table2[[#This Row],[!Type]]=O$1, O$1,"rg:None")</f>
        <v>rg:None</v>
      </c>
      <c r="P49" s="5" t="str">
        <f>IF(Table2[[#This Row],[!Type]]=P$1, P$1,"rg:None")</f>
        <v>links</v>
      </c>
      <c r="Q49" s="5" t="str">
        <f>IF(Table2[[#This Row],[!Type]]=Q$1, Q$1,"rg:None")</f>
        <v>rg:None</v>
      </c>
      <c r="R49" s="5" t="str">
        <f>IF(Table2[[#This Row],[!Type]]=R$1, R$1,"rg:None")</f>
        <v>rg:None</v>
      </c>
      <c r="S49" s="5" t="str">
        <f>IF(Table2[[#This Row],[!Type]]=S$1, S$1,"rg:None")</f>
        <v>rg:None</v>
      </c>
      <c r="T49" s="9" t="str">
        <f>IF(LEN(Table2[[#This Row],[!Length]]) &gt; 0, Table2[[#This Row],[!Length]], "rg:None")</f>
        <v>rg:None</v>
      </c>
      <c r="U49" s="9" t="str">
        <f>IF(LEN(Table2[[#This Row],[!Name]]) &gt; 0, Table2[[#This Row],[!Name]], "rg:None")</f>
        <v>contacts</v>
      </c>
      <c r="V49" s="9" t="str">
        <f>IF(LEN(Table2[[#This Row],[!Description]]) &gt; 0, Table2[[#This Row],[!Description]], "rg:None")</f>
        <v>rg:None</v>
      </c>
      <c r="W49" s="9" t="str">
        <f>IF(LEN(Table2[[#This Row],[!FK]])&gt;0,Table2[[#This Row],[!FK]],"rg:None")</f>
        <v>Contact</v>
      </c>
      <c r="X49" s="9" t="str">
        <f>IF(LEN(concatif2(A:A,Table2[[#This Row],[!Table]],G:G,"Y",D:D,",")) &gt; 0,"rg:[ { 'req' : '"&amp;concatif2(A:A,Table2[[#This Row],[!Table]],G:G,"Y",D:D,"' }, { 'req': '")&amp;"'} ]","rg:[]")</f>
        <v>rg:[ { 'req' : 'id' }, { 'req': 'name' }, { 'req': 'status' }, { 'req': 'dateCreated'} ]</v>
      </c>
      <c r="Y49" s="9" t="str">
        <f>IF(LEN(Table2[[#This Row],[!Unique]])&gt;0,IF(Table2[[#This Row],[!Type]] = "id", "rg:None","rg:True"),"rg:None")</f>
        <v>rg:None</v>
      </c>
    </row>
    <row r="50" spans="1:25" s="4" customFormat="1" x14ac:dyDescent="0.35">
      <c r="A50" s="47" t="s">
        <v>227</v>
      </c>
      <c r="B50" s="20" t="s">
        <v>27</v>
      </c>
      <c r="C50" s="3"/>
      <c r="D50" s="20" t="s">
        <v>26</v>
      </c>
      <c r="E50" s="23"/>
      <c r="F50" s="20" t="s">
        <v>111</v>
      </c>
      <c r="I50" s="5" t="str">
        <f t="shared" si="4"/>
        <v>Defs</v>
      </c>
      <c r="J50" t="str">
        <f>IF(Table2[[#This Row],[!Type]]=J$1, J$1,"rg:None")</f>
        <v>rg:None</v>
      </c>
      <c r="K50" t="str">
        <f>IF(Table2[[#This Row],[!Type]]=K$1, K$1,"rg:None")</f>
        <v>rg:None</v>
      </c>
      <c r="L50" t="str">
        <f>IF(Table2[[#This Row],[!Type]]=L$1, L$1,"rg:None")</f>
        <v>rg:None</v>
      </c>
      <c r="M50" t="str">
        <f>IF(Table2[[#This Row],[!Type]]=M$1, M$1,"rg:None")</f>
        <v>rg:None</v>
      </c>
      <c r="N50" s="9" t="str">
        <f>IF(Table2[[#This Row],[!Type]]=N$1, N$1,"rg:None")</f>
        <v>rg:None</v>
      </c>
      <c r="O50" s="9" t="str">
        <f>IF(Table2[[#This Row],[!Type]]=O$1, O$1,"rg:None")</f>
        <v>rg:None</v>
      </c>
      <c r="P50" s="5" t="str">
        <f>IF(Table2[[#This Row],[!Type]]=P$1, P$1,"rg:None")</f>
        <v>links</v>
      </c>
      <c r="Q50" s="5" t="str">
        <f>IF(Table2[[#This Row],[!Type]]=Q$1, Q$1,"rg:None")</f>
        <v>rg:None</v>
      </c>
      <c r="R50" s="5" t="str">
        <f>IF(Table2[[#This Row],[!Type]]=R$1, R$1,"rg:None")</f>
        <v>rg:None</v>
      </c>
      <c r="S50" s="5" t="str">
        <f>IF(Table2[[#This Row],[!Type]]=S$1, S$1,"rg:None")</f>
        <v>rg:None</v>
      </c>
      <c r="T50" s="9" t="str">
        <f>IF(LEN(Table2[[#This Row],[!Length]]) &gt; 0, Table2[[#This Row],[!Length]], "rg:None")</f>
        <v>rg:None</v>
      </c>
      <c r="U50" s="9" t="str">
        <f>IF(LEN(Table2[[#This Row],[!Name]]) &gt; 0, Table2[[#This Row],[!Name]], "rg:None")</f>
        <v>notes</v>
      </c>
      <c r="V50" s="9" t="str">
        <f>IF(LEN(Table2[[#This Row],[!Description]]) &gt; 0, Table2[[#This Row],[!Description]], "rg:None")</f>
        <v>rg:None</v>
      </c>
      <c r="W50" s="9" t="str">
        <f>IF(LEN(Table2[[#This Row],[!FK]])&gt;0,Table2[[#This Row],[!FK]],"rg:None")</f>
        <v>Note</v>
      </c>
      <c r="X50" s="9" t="str">
        <f>IF(LEN(concatif2(A:A,Table2[[#This Row],[!Table]],G:G,"Y",D:D,",")) &gt; 0,"rg:[ { 'req' : '"&amp;concatif2(A:A,Table2[[#This Row],[!Table]],G:G,"Y",D:D,"' }, { 'req': '")&amp;"'} ]","rg:[]")</f>
        <v>rg:[ { 'req' : 'id' }, { 'req': 'name' }, { 'req': 'status' }, { 'req': 'dateCreated'} ]</v>
      </c>
      <c r="Y50" s="9" t="str">
        <f>IF(LEN(Table2[[#This Row],[!Unique]])&gt;0,IF(Table2[[#This Row],[!Type]] = "id", "rg:None","rg:True"),"rg:None")</f>
        <v>rg:None</v>
      </c>
    </row>
    <row r="51" spans="1:25" s="4" customFormat="1" x14ac:dyDescent="0.35">
      <c r="A51" s="47" t="s">
        <v>227</v>
      </c>
      <c r="B51" s="20" t="s">
        <v>27</v>
      </c>
      <c r="C51" s="3"/>
      <c r="D51" s="20" t="s">
        <v>112</v>
      </c>
      <c r="E51" s="23"/>
      <c r="F51" s="20" t="s">
        <v>113</v>
      </c>
      <c r="I51" s="5" t="str">
        <f t="shared" si="4"/>
        <v>Defs</v>
      </c>
      <c r="J51" t="str">
        <f>IF(Table2[[#This Row],[!Type]]=J$1, J$1,"rg:None")</f>
        <v>rg:None</v>
      </c>
      <c r="K51" t="str">
        <f>IF(Table2[[#This Row],[!Type]]=K$1, K$1,"rg:None")</f>
        <v>rg:None</v>
      </c>
      <c r="L51" t="str">
        <f>IF(Table2[[#This Row],[!Type]]=L$1, L$1,"rg:None")</f>
        <v>rg:None</v>
      </c>
      <c r="M51" t="str">
        <f>IF(Table2[[#This Row],[!Type]]=M$1, M$1,"rg:None")</f>
        <v>rg:None</v>
      </c>
      <c r="N51" s="9" t="str">
        <f>IF(Table2[[#This Row],[!Type]]=N$1, N$1,"rg:None")</f>
        <v>rg:None</v>
      </c>
      <c r="O51" s="9" t="str">
        <f>IF(Table2[[#This Row],[!Type]]=O$1, O$1,"rg:None")</f>
        <v>rg:None</v>
      </c>
      <c r="P51" s="5" t="str">
        <f>IF(Table2[[#This Row],[!Type]]=P$1, P$1,"rg:None")</f>
        <v>links</v>
      </c>
      <c r="Q51" s="5" t="str">
        <f>IF(Table2[[#This Row],[!Type]]=Q$1, Q$1,"rg:None")</f>
        <v>rg:None</v>
      </c>
      <c r="R51" s="5" t="str">
        <f>IF(Table2[[#This Row],[!Type]]=R$1, R$1,"rg:None")</f>
        <v>rg:None</v>
      </c>
      <c r="S51" s="5" t="str">
        <f>IF(Table2[[#This Row],[!Type]]=S$1, S$1,"rg:None")</f>
        <v>rg:None</v>
      </c>
      <c r="T51" s="9" t="str">
        <f>IF(LEN(Table2[[#This Row],[!Length]]) &gt; 0, Table2[[#This Row],[!Length]], "rg:None")</f>
        <v>rg:None</v>
      </c>
      <c r="U51" s="9" t="str">
        <f>IF(LEN(Table2[[#This Row],[!Name]]) &gt; 0, Table2[[#This Row],[!Name]], "rg:None")</f>
        <v>attachments</v>
      </c>
      <c r="V51" s="9" t="str">
        <f>IF(LEN(Table2[[#This Row],[!Description]]) &gt; 0, Table2[[#This Row],[!Description]], "rg:None")</f>
        <v>rg:None</v>
      </c>
      <c r="W51" s="9" t="str">
        <f>IF(LEN(Table2[[#This Row],[!FK]])&gt;0,Table2[[#This Row],[!FK]],"rg:None")</f>
        <v>Attachment</v>
      </c>
      <c r="X51" s="9" t="str">
        <f>IF(LEN(concatif2(A:A,Table2[[#This Row],[!Table]],G:G,"Y",D:D,",")) &gt; 0,"rg:[ { 'req' : '"&amp;concatif2(A:A,Table2[[#This Row],[!Table]],G:G,"Y",D:D,"' }, { 'req': '")&amp;"'} ]","rg:[]")</f>
        <v>rg:[ { 'req' : 'id' }, { 'req': 'name' }, { 'req': 'status' }, { 'req': 'dateCreated'} ]</v>
      </c>
      <c r="Y51" s="9" t="str">
        <f>IF(LEN(Table2[[#This Row],[!Unique]])&gt;0,IF(Table2[[#This Row],[!Type]] = "id", "rg:None","rg:True"),"rg:None")</f>
        <v>rg:None</v>
      </c>
    </row>
    <row r="52" spans="1:25" s="4" customFormat="1" x14ac:dyDescent="0.35">
      <c r="A52" s="47" t="s">
        <v>227</v>
      </c>
      <c r="B52" s="20" t="s">
        <v>27</v>
      </c>
      <c r="C52" s="3"/>
      <c r="D52" s="20" t="s">
        <v>114</v>
      </c>
      <c r="E52" s="23"/>
      <c r="F52" s="20" t="s">
        <v>115</v>
      </c>
      <c r="I52" s="5" t="str">
        <f t="shared" si="4"/>
        <v>Defs</v>
      </c>
      <c r="J52" t="str">
        <f>IF(Table2[[#This Row],[!Type]]=J$1, J$1,"rg:None")</f>
        <v>rg:None</v>
      </c>
      <c r="K52" t="str">
        <f>IF(Table2[[#This Row],[!Type]]=K$1, K$1,"rg:None")</f>
        <v>rg:None</v>
      </c>
      <c r="L52" t="str">
        <f>IF(Table2[[#This Row],[!Type]]=L$1, L$1,"rg:None")</f>
        <v>rg:None</v>
      </c>
      <c r="M52" t="str">
        <f>IF(Table2[[#This Row],[!Type]]=M$1, M$1,"rg:None")</f>
        <v>rg:None</v>
      </c>
      <c r="N52" s="9" t="str">
        <f>IF(Table2[[#This Row],[!Type]]=N$1, N$1,"rg:None")</f>
        <v>rg:None</v>
      </c>
      <c r="O52" s="9" t="str">
        <f>IF(Table2[[#This Row],[!Type]]=O$1, O$1,"rg:None")</f>
        <v>rg:None</v>
      </c>
      <c r="P52" s="5" t="str">
        <f>IF(Table2[[#This Row],[!Type]]=P$1, P$1,"rg:None")</f>
        <v>links</v>
      </c>
      <c r="Q52" s="5" t="str">
        <f>IF(Table2[[#This Row],[!Type]]=Q$1, Q$1,"rg:None")</f>
        <v>rg:None</v>
      </c>
      <c r="R52" s="5" t="str">
        <f>IF(Table2[[#This Row],[!Type]]=R$1, R$1,"rg:None")</f>
        <v>rg:None</v>
      </c>
      <c r="S52" s="5" t="str">
        <f>IF(Table2[[#This Row],[!Type]]=S$1, S$1,"rg:None")</f>
        <v>rg:None</v>
      </c>
      <c r="T52" s="9" t="str">
        <f>IF(LEN(Table2[[#This Row],[!Length]]) &gt; 0, Table2[[#This Row],[!Length]], "rg:None")</f>
        <v>rg:None</v>
      </c>
      <c r="U52" s="9" t="str">
        <f>IF(LEN(Table2[[#This Row],[!Name]]) &gt; 0, Table2[[#This Row],[!Name]], "rg:None")</f>
        <v>history</v>
      </c>
      <c r="V52" s="9" t="str">
        <f>IF(LEN(Table2[[#This Row],[!Description]]) &gt; 0, Table2[[#This Row],[!Description]], "rg:None")</f>
        <v>rg:None</v>
      </c>
      <c r="W52" s="9" t="str">
        <f>IF(LEN(Table2[[#This Row],[!FK]])&gt;0,Table2[[#This Row],[!FK]],"rg:None")</f>
        <v>History</v>
      </c>
      <c r="X52" s="9" t="str">
        <f>IF(LEN(concatif2(A:A,Table2[[#This Row],[!Table]],G:G,"Y",D:D,",")) &gt; 0,"rg:[ { 'req' : '"&amp;concatif2(A:A,Table2[[#This Row],[!Table]],G:G,"Y",D:D,"' }, { 'req': '")&amp;"'} ]","rg:[]")</f>
        <v>rg:[ { 'req' : 'id' }, { 'req': 'name' }, { 'req': 'status' }, { 'req': 'dateCreated'} ]</v>
      </c>
      <c r="Y52" s="9" t="str">
        <f>IF(LEN(Table2[[#This Row],[!Unique]])&gt;0,IF(Table2[[#This Row],[!Type]] = "id", "rg:None","rg:True"),"rg:None")</f>
        <v>rg:None</v>
      </c>
    </row>
    <row r="53" spans="1:25" ht="43.2" x14ac:dyDescent="0.35">
      <c r="A53" s="54" t="s">
        <v>249</v>
      </c>
      <c r="B53" s="54" t="s">
        <v>4</v>
      </c>
      <c r="C53" s="55"/>
      <c r="D53" s="54" t="s">
        <v>249</v>
      </c>
      <c r="E53" s="56" t="s">
        <v>259</v>
      </c>
      <c r="F53" s="12"/>
      <c r="G53" s="16"/>
      <c r="H53" s="16"/>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4" t="str">
        <f>IF(LEN(Table2[[#This Row],[!Length]]) &gt; 0, Table2[[#This Row],[!Length]], "rg:None")</f>
        <v>rg:None</v>
      </c>
      <c r="U53" s="4" t="str">
        <f>IF(LEN(Table2[[#This Row],[!Name]]) &gt; 0, Table2[[#This Row],[!Name]], "rg:None")</f>
        <v>LookupList</v>
      </c>
      <c r="V53" s="4" t="str">
        <f>IF(LEN(Table2[[#This Row],[!Description]]) &gt; 0, Table2[[#This Row],[!Description]], "rg:None")</f>
        <v>Lookup values for various enumerated types in the systems - entity status values, trade types and others. Used to pull the values out of the code and into the database but without having to have a table for each lookup instance.</v>
      </c>
      <c r="W53" s="4" t="str">
        <f>IF(LEN(Table2[[#This Row],[!FK]])&gt;0,Table2[[#This Row],[!FK]],"rg:None")</f>
        <v>rg:None</v>
      </c>
      <c r="X53" s="14" t="str">
        <f>IF(LEN(concatif2(A:A,Table2[[#This Row],[!Table]],G:G,"Y",D:D,",")) &gt; 0,"rg:[ { 'req' : '"&amp;concatif2(A:A,Table2[[#This Row],[!Table]],G:G,"Y",D:D,"' }, { 'req': '")&amp;"'} ]","rg:[]")</f>
        <v>rg:[ { 'req' : 'id' }, { 'req': 'contextName' }, { 'req': 'isDefault' }, { 'req': 'codeName' }, { 'req': 'value'} ]</v>
      </c>
      <c r="Y53" s="4" t="str">
        <f>IF(LEN(Table2[[#This Row],[!Unique]])&gt;0,IF(Table2[[#This Row],[!Type]] = "id", "rg:None","rg:True"),"rg:None")</f>
        <v>rg:None</v>
      </c>
    </row>
    <row r="54" spans="1:25" x14ac:dyDescent="0.3">
      <c r="A54" s="54" t="s">
        <v>249</v>
      </c>
      <c r="B54" s="54" t="s">
        <v>6</v>
      </c>
      <c r="C54" s="55"/>
      <c r="D54" s="54" t="s">
        <v>6</v>
      </c>
      <c r="E54" s="48" t="s">
        <v>250</v>
      </c>
      <c r="F54" s="12"/>
      <c r="G54" s="51" t="s">
        <v>69</v>
      </c>
      <c r="H54" s="51" t="s">
        <v>69</v>
      </c>
      <c r="I54" s="4" t="str">
        <f t="shared" si="4"/>
        <v>Defs</v>
      </c>
      <c r="J54" s="4" t="str">
        <f>IF(Table2[[#This Row],[!Type]]=J$1, J$1,"rg:None")</f>
        <v>rg:None</v>
      </c>
      <c r="K54" s="4" t="str">
        <f>IF(Table2[[#This Row],[!Type]]=K$1, K$1,"rg:None")</f>
        <v>rg:None</v>
      </c>
      <c r="L54" s="4" t="str">
        <f>IF(Table2[[#This Row],[!Type]]=L$1, L$1,"rg:None")</f>
        <v>rg:None</v>
      </c>
      <c r="M54" s="4" t="str">
        <f>IF(Table2[[#This Row],[!Type]]=M$1, M$1,"rg:None")</f>
        <v>id</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id</v>
      </c>
      <c r="V54" s="4" t="str">
        <f>IF(LEN(Table2[[#This Row],[!Description]]) &gt; 0, Table2[[#This Row],[!Description]], "rg:None")</f>
        <v>A system-generated unique identifier for a LookupList</v>
      </c>
      <c r="W54" s="4" t="str">
        <f>IF(LEN(Table2[[#This Row],[!FK]])&gt;0,Table2[[#This Row],[!FK]],"rg:None")</f>
        <v>rg:None</v>
      </c>
      <c r="X54" s="14" t="str">
        <f>IF(LEN(concatif2(A:A,Table2[[#This Row],[!Table]],G:G,"Y",D:D,",")) &gt; 0,"rg:[ { 'req' : '"&amp;concatif2(A:A,Table2[[#This Row],[!Table]],G:G,"Y",D:D,"' }, { 'req': '")&amp;"'} ]","rg:[]")</f>
        <v>rg:[ { 'req' : 'id' }, { 'req': 'contextName' }, { 'req': 'isDefault' }, { 'req': 'codeName' }, { 'req': 'value'} ]</v>
      </c>
      <c r="Y54" s="4" t="str">
        <f>IF(LEN(Table2[[#This Row],[!Unique]])&gt;0,IF(Table2[[#This Row],[!Type]] = "id", "rg:None","rg:True"),"rg:None")</f>
        <v>rg:None</v>
      </c>
    </row>
    <row r="55" spans="1:25" ht="28.8" x14ac:dyDescent="0.35">
      <c r="A55" s="54" t="s">
        <v>249</v>
      </c>
      <c r="B55" s="54" t="s">
        <v>7</v>
      </c>
      <c r="C55" s="55"/>
      <c r="D55" s="54" t="s">
        <v>251</v>
      </c>
      <c r="E55" s="56" t="s">
        <v>252</v>
      </c>
      <c r="F55" s="12"/>
      <c r="G55" s="51" t="s">
        <v>69</v>
      </c>
      <c r="H55" s="16"/>
      <c r="I55" s="4" t="str">
        <f t="shared" si="4"/>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string</v>
      </c>
      <c r="S55" s="4" t="str">
        <f>IF(Table2[[#This Row],[!Type]]=S$1, S$1,"rg:None")</f>
        <v>rg:None</v>
      </c>
      <c r="T55" s="4" t="str">
        <f>IF(LEN(Table2[[#This Row],[!Length]]) &gt; 0, Table2[[#This Row],[!Length]], "rg:None")</f>
        <v>rg:None</v>
      </c>
      <c r="U55" s="4" t="str">
        <f>IF(LEN(Table2[[#This Row],[!Name]]) &gt; 0, Table2[[#This Row],[!Name]], "rg:None")</f>
        <v>contextName</v>
      </c>
      <c r="V55" s="4" t="str">
        <f>IF(LEN(Table2[[#This Row],[!Description]]) &gt; 0, Table2[[#This Row],[!Description]], "rg:None")</f>
        <v>The context within the app in which this lookup list if used. Defined and referenced in the code of the application.</v>
      </c>
      <c r="W55" s="4" t="str">
        <f>IF(LEN(Table2[[#This Row],[!FK]])&gt;0,Table2[[#This Row],[!FK]],"rg:None")</f>
        <v>rg:None</v>
      </c>
      <c r="X55" s="14" t="str">
        <f>IF(LEN(concatif2(A:A,Table2[[#This Row],[!Table]],G:G,"Y",D:D,",")) &gt; 0,"rg:[ { 'req' : '"&amp;concatif2(A:A,Table2[[#This Row],[!Table]],G:G,"Y",D:D,"' }, { 'req': '")&amp;"'} ]","rg:[]")</f>
        <v>rg:[ { 'req' : 'id' }, { 'req': 'contextName' }, { 'req': 'isDefault' }, { 'req': 'codeName' }, { 'req': 'value'} ]</v>
      </c>
      <c r="Y55" s="4" t="str">
        <f>IF(LEN(Table2[[#This Row],[!Unique]])&gt;0,IF(Table2[[#This Row],[!Type]] = "id", "rg:None","rg:True"),"rg:None")</f>
        <v>rg:None</v>
      </c>
    </row>
    <row r="56" spans="1:25" ht="28.8" x14ac:dyDescent="0.35">
      <c r="A56" s="54" t="s">
        <v>249</v>
      </c>
      <c r="B56" s="54" t="s">
        <v>10</v>
      </c>
      <c r="C56" s="55"/>
      <c r="D56" s="54" t="s">
        <v>41</v>
      </c>
      <c r="E56" s="56" t="s">
        <v>253</v>
      </c>
      <c r="F56" s="12"/>
      <c r="G56" s="51" t="s">
        <v>69</v>
      </c>
      <c r="H56" s="16"/>
      <c r="I56" s="4" t="str">
        <f t="shared" si="4"/>
        <v>Defs</v>
      </c>
      <c r="J56" s="4" t="str">
        <f>IF(Table2[[#This Row],[!Type]]=J$1, J$1,"rg:None")</f>
        <v>boolean</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isDefault</v>
      </c>
      <c r="V56" s="4" t="str">
        <f>IF(LEN(Table2[[#This Row],[!Description]]) &gt; 0, Table2[[#This Row],[!Description]], "rg:None")</f>
        <v>True of the value within the lookup list context should be the default for the lookup instance.</v>
      </c>
      <c r="W56" s="4" t="str">
        <f>IF(LEN(Table2[[#This Row],[!FK]])&gt;0,Table2[[#This Row],[!FK]],"rg:None")</f>
        <v>rg:None</v>
      </c>
      <c r="X56" s="14" t="str">
        <f>IF(LEN(concatif2(A:A,Table2[[#This Row],[!Table]],G:G,"Y",D:D,",")) &gt; 0,"rg:[ { 'req' : '"&amp;concatif2(A:A,Table2[[#This Row],[!Table]],G:G,"Y",D:D,"' }, { 'req': '")&amp;"'} ]","rg:[]")</f>
        <v>rg:[ { 'req' : 'id' }, { 'req': 'contextName' }, { 'req': 'isDefault' }, { 'req': 'codeName' }, { 'req': 'value'} ]</v>
      </c>
      <c r="Y56" s="4" t="str">
        <f>IF(LEN(Table2[[#This Row],[!Unique]])&gt;0,IF(Table2[[#This Row],[!Type]] = "id", "rg:None","rg:True"),"rg:None")</f>
        <v>rg:None</v>
      </c>
    </row>
    <row r="57" spans="1:25" x14ac:dyDescent="0.35">
      <c r="A57" s="54" t="s">
        <v>249</v>
      </c>
      <c r="B57" s="54" t="s">
        <v>12</v>
      </c>
      <c r="C57" s="55"/>
      <c r="D57" s="54" t="s">
        <v>254</v>
      </c>
      <c r="E57" s="56" t="s">
        <v>255</v>
      </c>
      <c r="F57" s="12"/>
      <c r="G57" s="16"/>
      <c r="H57" s="16"/>
      <c r="I57" s="4" t="str">
        <f t="shared" si="4"/>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integer</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displaySortOrder</v>
      </c>
      <c r="V57" s="4" t="str">
        <f>IF(LEN(Table2[[#This Row],[!Description]]) &gt; 0, Table2[[#This Row],[!Description]], "rg:None")</f>
        <v>The sort order for list of values within a list context.</v>
      </c>
      <c r="W57" s="4" t="str">
        <f>IF(LEN(Table2[[#This Row],[!FK]])&gt;0,Table2[[#This Row],[!FK]],"rg:None")</f>
        <v>rg:None</v>
      </c>
      <c r="X57" s="14" t="str">
        <f>IF(LEN(concatif2(A:A,Table2[[#This Row],[!Table]],G:G,"Y",D:D,",")) &gt; 0,"rg:[ { 'req' : '"&amp;concatif2(A:A,Table2[[#This Row],[!Table]],G:G,"Y",D:D,"' }, { 'req': '")&amp;"'} ]","rg:[]")</f>
        <v>rg:[ { 'req' : 'id' }, { 'req': 'contextName' }, { 'req': 'isDefault' }, { 'req': 'codeName' }, { 'req': 'value'} ]</v>
      </c>
      <c r="Y57" s="4" t="str">
        <f>IF(LEN(Table2[[#This Row],[!Unique]])&gt;0,IF(Table2[[#This Row],[!Type]] = "id", "rg:None","rg:True"),"rg:None")</f>
        <v>rg:None</v>
      </c>
    </row>
    <row r="58" spans="1:25" ht="28.8" x14ac:dyDescent="0.35">
      <c r="A58" s="54" t="s">
        <v>249</v>
      </c>
      <c r="B58" s="54" t="s">
        <v>7</v>
      </c>
      <c r="C58" s="55"/>
      <c r="D58" s="54" t="s">
        <v>256</v>
      </c>
      <c r="E58" s="56" t="s">
        <v>257</v>
      </c>
      <c r="F58" s="12"/>
      <c r="G58" s="51" t="s">
        <v>69</v>
      </c>
      <c r="H58" s="16"/>
      <c r="I58" s="4" t="str">
        <f t="shared" si="4"/>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codeName</v>
      </c>
      <c r="V58" s="4" t="str">
        <f>IF(LEN(Table2[[#This Row],[!Description]]) &gt; 0, Table2[[#This Row],[!Description]], "rg:None")</f>
        <v>The a shorter lookup name to find the value. Can be used at the option of the application to present on the screen a short version of the lookup list value.</v>
      </c>
      <c r="W58" s="4" t="str">
        <f>IF(LEN(Table2[[#This Row],[!FK]])&gt;0,Table2[[#This Row],[!FK]],"rg:None")</f>
        <v>rg:None</v>
      </c>
      <c r="X58" s="14" t="str">
        <f>IF(LEN(concatif2(A:A,Table2[[#This Row],[!Table]],G:G,"Y",D:D,",")) &gt; 0,"rg:[ { 'req' : '"&amp;concatif2(A:A,Table2[[#This Row],[!Table]],G:G,"Y",D:D,"' }, { 'req': '")&amp;"'} ]","rg:[]")</f>
        <v>rg:[ { 'req' : 'id' }, { 'req': 'contextName' }, { 'req': 'isDefault' }, { 'req': 'codeName' }, { 'req': 'value'} ]</v>
      </c>
      <c r="Y58" s="4" t="str">
        <f>IF(LEN(Table2[[#This Row],[!Unique]])&gt;0,IF(Table2[[#This Row],[!Type]] = "id", "rg:None","rg:True"),"rg:None")</f>
        <v>rg:None</v>
      </c>
    </row>
    <row r="59" spans="1:25" x14ac:dyDescent="0.35">
      <c r="A59" s="54" t="s">
        <v>249</v>
      </c>
      <c r="B59" s="54" t="s">
        <v>7</v>
      </c>
      <c r="C59" s="55"/>
      <c r="D59" s="54" t="s">
        <v>39</v>
      </c>
      <c r="E59" s="56" t="s">
        <v>258</v>
      </c>
      <c r="F59" s="12"/>
      <c r="G59" s="51" t="s">
        <v>69</v>
      </c>
      <c r="H59" s="16"/>
      <c r="I59" s="4" t="str">
        <f t="shared" si="4"/>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4" t="str">
        <f>IF(LEN(Table2[[#This Row],[!Length]]) &gt; 0, Table2[[#This Row],[!Length]], "rg:None")</f>
        <v>rg:None</v>
      </c>
      <c r="U59" s="4" t="str">
        <f>IF(LEN(Table2[[#This Row],[!Name]]) &gt; 0, Table2[[#This Row],[!Name]], "rg:None")</f>
        <v>value</v>
      </c>
      <c r="V59" s="4" t="str">
        <f>IF(LEN(Table2[[#This Row],[!Description]]) &gt; 0, Table2[[#This Row],[!Description]], "rg:None")</f>
        <v>The fully spelled out value of the lookup entry.</v>
      </c>
      <c r="W59" s="4" t="str">
        <f>IF(LEN(Table2[[#This Row],[!FK]])&gt;0,Table2[[#This Row],[!FK]],"rg:None")</f>
        <v>rg:None</v>
      </c>
      <c r="X59" s="14" t="str">
        <f>IF(LEN(concatif2(A:A,Table2[[#This Row],[!Table]],G:G,"Y",D:D,",")) &gt; 0,"rg:[ { 'req' : '"&amp;concatif2(A:A,Table2[[#This Row],[!Table]],G:G,"Y",D:D,"' }, { 'req': '")&amp;"'} ]","rg:[]")</f>
        <v>rg:[ { 'req' : 'id' }, { 'req': 'contextName' }, { 'req': 'isDefault' }, { 'req': 'codeName' }, { 'req': 'value'} ]</v>
      </c>
      <c r="Y59" s="4" t="str">
        <f>IF(LEN(Table2[[#This Row],[!Unique]])&gt;0,IF(Table2[[#This Row],[!Type]] = "id", "rg:None","rg:True"),"rg:None")</f>
        <v>rg:None</v>
      </c>
    </row>
    <row r="60" spans="1:25" s="4" customFormat="1" x14ac:dyDescent="0.35">
      <c r="A60" s="20" t="s">
        <v>111</v>
      </c>
      <c r="B60" s="3" t="s">
        <v>4</v>
      </c>
      <c r="C60" s="3"/>
      <c r="D60" s="20" t="s">
        <v>111</v>
      </c>
      <c r="E60" s="48" t="s">
        <v>241</v>
      </c>
      <c r="F60" s="3" t="s">
        <v>5</v>
      </c>
      <c r="I60" s="5" t="str">
        <f t="shared" si="4"/>
        <v>Defs</v>
      </c>
      <c r="J60" t="str">
        <f>IF(Table2[[#This Row],[!Type]]=J$1, J$1,"rg:None")</f>
        <v>rg:None</v>
      </c>
      <c r="K60" t="str">
        <f>IF(Table2[[#This Row],[!Type]]=K$1, K$1,"rg:None")</f>
        <v>rg:None</v>
      </c>
      <c r="L60" t="str">
        <f>IF(Table2[[#This Row],[!Type]]=L$1, L$1,"rg:None")</f>
        <v>rg:None</v>
      </c>
      <c r="M60" t="str">
        <f>IF(Table2[[#This Row],[!Type]]=M$1, M$1,"rg:None")</f>
        <v>rg:None</v>
      </c>
      <c r="N60" s="9" t="str">
        <f>IF(Table2[[#This Row],[!Type]]=N$1, N$1,"rg:None")</f>
        <v>rg:None</v>
      </c>
      <c r="O60" s="9"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table</v>
      </c>
      <c r="T60" s="9" t="str">
        <f>IF(LEN(Table2[[#This Row],[!Length]]) &gt; 0, Table2[[#This Row],[!Length]], "rg:None")</f>
        <v>rg:None</v>
      </c>
      <c r="U60" s="9" t="str">
        <f>IF(LEN(Table2[[#This Row],[!Name]]) &gt; 0, Table2[[#This Row],[!Name]], "rg:None")</f>
        <v>Note</v>
      </c>
      <c r="V60" s="9" t="str">
        <f>IF(LEN(Table2[[#This Row],[!Description]]) &gt; 0, Table2[[#This Row],[!Description]], "rg:None")</f>
        <v>Notes entered by users about instance of entities - e.g. Credit Trades and Fuel Suppliers</v>
      </c>
      <c r="W60" s="9" t="str">
        <f>IF(LEN(Table2[[#This Row],[!FK]])&gt;0,Table2[[#This Row],[!FK]],"rg:None")</f>
        <v>rg:None</v>
      </c>
      <c r="X60" s="9" t="str">
        <f>IF(LEN(concatif2(A:A,Table2[[#This Row],[!Table]],G:G,"Y",D:D,",")) &gt; 0,"rg:[ { 'req' : '"&amp;concatif2(A:A,Table2[[#This Row],[!Table]],G:G,"Y",D:D,"' }, { 'req': '")&amp;"'} ]","rg:[]")</f>
        <v>rg:[ { 'req' : 'id' }, { 'req': 'noteText'} ]</v>
      </c>
      <c r="Y60" s="9" t="str">
        <f>IF(LEN(Table2[[#This Row],[!Unique]])&gt;0,IF(Table2[[#This Row],[!Type]] = "id", "rg:None","rg:True"),"rg:None")</f>
        <v>rg:None</v>
      </c>
    </row>
    <row r="61" spans="1:25" s="4" customFormat="1" x14ac:dyDescent="0.35">
      <c r="A61" s="20" t="s">
        <v>111</v>
      </c>
      <c r="B61" s="3" t="s">
        <v>6</v>
      </c>
      <c r="C61" s="3"/>
      <c r="D61" s="3" t="s">
        <v>6</v>
      </c>
      <c r="E61" s="23" t="s">
        <v>129</v>
      </c>
      <c r="F61" s="3" t="s">
        <v>5</v>
      </c>
      <c r="G61" s="4" t="s">
        <v>69</v>
      </c>
      <c r="H61" s="32" t="s">
        <v>69</v>
      </c>
      <c r="I61" s="5" t="str">
        <f t="shared" si="4"/>
        <v>Defs</v>
      </c>
      <c r="J61" t="str">
        <f>IF(Table2[[#This Row],[!Type]]=J$1, J$1,"rg:None")</f>
        <v>rg:None</v>
      </c>
      <c r="K61" t="str">
        <f>IF(Table2[[#This Row],[!Type]]=K$1, K$1,"rg:None")</f>
        <v>rg:None</v>
      </c>
      <c r="L61" t="str">
        <f>IF(Table2[[#This Row],[!Type]]=L$1, L$1,"rg:None")</f>
        <v>rg:None</v>
      </c>
      <c r="M61" t="str">
        <f>IF(Table2[[#This Row],[!Type]]=M$1, M$1,"rg:None")</f>
        <v>id</v>
      </c>
      <c r="N61" s="9" t="str">
        <f>IF(Table2[[#This Row],[!Type]]=N$1, N$1,"rg:None")</f>
        <v>rg:None</v>
      </c>
      <c r="O61" s="9" t="str">
        <f>IF(Table2[[#This Row],[!Type]]=O$1, O$1,"rg:None")</f>
        <v>rg:None</v>
      </c>
      <c r="P61" s="5" t="str">
        <f>IF(Table2[[#This Row],[!Type]]=P$1, P$1,"rg:None")</f>
        <v>rg:None</v>
      </c>
      <c r="Q61" s="5" t="str">
        <f>IF(Table2[[#This Row],[!Type]]=Q$1, Q$1,"rg:None")</f>
        <v>rg:None</v>
      </c>
      <c r="R61" s="5" t="str">
        <f>IF(Table2[[#This Row],[!Type]]=R$1, R$1,"rg:None")</f>
        <v>rg:None</v>
      </c>
      <c r="S61" s="5" t="str">
        <f>IF(Table2[[#This Row],[!Type]]=S$1, S$1,"rg:None")</f>
        <v>rg:None</v>
      </c>
      <c r="T61" s="9" t="str">
        <f>IF(LEN(Table2[[#This Row],[!Length]]) &gt; 0, Table2[[#This Row],[!Length]], "rg:None")</f>
        <v>rg:None</v>
      </c>
      <c r="U61" s="9" t="str">
        <f>IF(LEN(Table2[[#This Row],[!Name]]) &gt; 0, Table2[[#This Row],[!Name]], "rg:None")</f>
        <v>id</v>
      </c>
      <c r="V61" s="9" t="str">
        <f>IF(LEN(Table2[[#This Row],[!Description]]) &gt; 0, Table2[[#This Row],[!Description]], "rg:None")</f>
        <v>A system-generated unique identifier for a Note</v>
      </c>
      <c r="W61" s="9" t="str">
        <f>IF(LEN(Table2[[#This Row],[!FK]])&gt;0,Table2[[#This Row],[!FK]],"rg:None")</f>
        <v>rg:None</v>
      </c>
      <c r="X61" s="9" t="str">
        <f>IF(LEN(concatif2(A:A,Table2[[#This Row],[!Table]],G:G,"Y",D:D,",")) &gt; 0,"rg:[ { 'req' : '"&amp;concatif2(A:A,Table2[[#This Row],[!Table]],G:G,"Y",D:D,"' }, { 'req': '")&amp;"'} ]","rg:[]")</f>
        <v>rg:[ { 'req' : 'id' }, { 'req': 'noteText'} ]</v>
      </c>
      <c r="Y61" s="9" t="str">
        <f>IF(LEN(Table2[[#This Row],[!Unique]])&gt;0,IF(Table2[[#This Row],[!Type]] = "id", "rg:None","rg:True"),"rg:None")</f>
        <v>rg:None</v>
      </c>
    </row>
    <row r="62" spans="1:25" s="4" customFormat="1" x14ac:dyDescent="0.35">
      <c r="A62" s="20" t="s">
        <v>111</v>
      </c>
      <c r="B62" s="3" t="s">
        <v>7</v>
      </c>
      <c r="C62" s="3"/>
      <c r="D62" s="20" t="s">
        <v>119</v>
      </c>
      <c r="E62" s="23" t="s">
        <v>13</v>
      </c>
      <c r="F62" s="3" t="s">
        <v>5</v>
      </c>
      <c r="G62" s="32" t="s">
        <v>69</v>
      </c>
      <c r="I62" s="5" t="str">
        <f t="shared" si="4"/>
        <v>Defs</v>
      </c>
      <c r="J62" t="str">
        <f>IF(Table2[[#This Row],[!Type]]=J$1, J$1,"rg:None")</f>
        <v>rg:None</v>
      </c>
      <c r="K62" t="str">
        <f>IF(Table2[[#This Row],[!Type]]=K$1, K$1,"rg:None")</f>
        <v>rg:None</v>
      </c>
      <c r="L62" t="str">
        <f>IF(Table2[[#This Row],[!Type]]=L$1, L$1,"rg:None")</f>
        <v>rg:None</v>
      </c>
      <c r="M62" t="str">
        <f>IF(Table2[[#This Row],[!Type]]=M$1, M$1,"rg:None")</f>
        <v>rg:None</v>
      </c>
      <c r="N62" s="9" t="str">
        <f>IF(Table2[[#This Row],[!Type]]=N$1, N$1,"rg:None")</f>
        <v>rg:None</v>
      </c>
      <c r="O62" s="9"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9" t="str">
        <f>IF(LEN(Table2[[#This Row],[!Length]]) &gt; 0, Table2[[#This Row],[!Length]], "rg:None")</f>
        <v>rg:None</v>
      </c>
      <c r="U62" s="9" t="str">
        <f>IF(LEN(Table2[[#This Row],[!Name]]) &gt; 0, Table2[[#This Row],[!Name]], "rg:None")</f>
        <v>noteText</v>
      </c>
      <c r="V62" s="9" t="str">
        <f>IF(LEN(Table2[[#This Row],[!Description]]) &gt; 0, Table2[[#This Row],[!Description]], "rg:None")</f>
        <v>The contents of the note.</v>
      </c>
      <c r="W62" s="9" t="str">
        <f>IF(LEN(Table2[[#This Row],[!FK]])&gt;0,Table2[[#This Row],[!FK]],"rg:None")</f>
        <v>rg:None</v>
      </c>
      <c r="X62" s="9" t="str">
        <f>IF(LEN(concatif2(A:A,Table2[[#This Row],[!Table]],G:G,"Y",D:D,",")) &gt; 0,"rg:[ { 'req' : '"&amp;concatif2(A:A,Table2[[#This Row],[!Table]],G:G,"Y",D:D,"' }, { 'req': '")&amp;"'} ]","rg:[]")</f>
        <v>rg:[ { 'req' : 'id' }, { 'req': 'noteText'} ]</v>
      </c>
      <c r="Y62" s="9" t="str">
        <f>IF(LEN(Table2[[#This Row],[!Unique]])&gt;0,IF(Table2[[#This Row],[!Type]] = "id", "rg:None","rg:True"),"rg:None")</f>
        <v>rg:None</v>
      </c>
    </row>
    <row r="63" spans="1:25" s="4" customFormat="1" x14ac:dyDescent="0.35">
      <c r="A63" s="20" t="s">
        <v>111</v>
      </c>
      <c r="B63" s="3" t="s">
        <v>10</v>
      </c>
      <c r="C63" s="3"/>
      <c r="D63" s="3" t="s">
        <v>14</v>
      </c>
      <c r="E63" s="24" t="s">
        <v>116</v>
      </c>
      <c r="F63" s="3" t="s">
        <v>5</v>
      </c>
      <c r="I63" s="5" t="str">
        <f t="shared" si="4"/>
        <v>Defs</v>
      </c>
      <c r="J63" t="str">
        <f>IF(Table2[[#This Row],[!Type]]=J$1, J$1,"rg:None")</f>
        <v>boolean</v>
      </c>
      <c r="K63" t="str">
        <f>IF(Table2[[#This Row],[!Type]]=K$1, K$1,"rg:None")</f>
        <v>rg:None</v>
      </c>
      <c r="L63" t="str">
        <f>IF(Table2[[#This Row],[!Type]]=L$1, L$1,"rg:None")</f>
        <v>rg:None</v>
      </c>
      <c r="M63" t="str">
        <f>IF(Table2[[#This Row],[!Type]]=M$1, M$1,"rg:None")</f>
        <v>rg:None</v>
      </c>
      <c r="N63" s="9" t="str">
        <f>IF(Table2[[#This Row],[!Type]]=N$1, N$1,"rg:None")</f>
        <v>rg:None</v>
      </c>
      <c r="O63" s="9"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9" t="str">
        <f>IF(LEN(Table2[[#This Row],[!Length]]) &gt; 0, Table2[[#This Row],[!Length]], "rg:None")</f>
        <v>rg:None</v>
      </c>
      <c r="U63" s="9" t="str">
        <f>IF(LEN(Table2[[#This Row],[!Name]]) &gt; 0, Table2[[#This Row],[!Name]], "rg:None")</f>
        <v>isNoLongerRelevant</v>
      </c>
      <c r="V63" s="9" t="str">
        <f>IF(LEN(Table2[[#This Row],[!Description]]) &gt; 0, Table2[[#This Row],[!Description]], "rg:None")</f>
        <v>A user set flag that the note is no longer relevant. Allows the note to be retained for historical reasons,  but identified to other users as no longer applicable.</v>
      </c>
      <c r="W63" s="9" t="str">
        <f>IF(LEN(Table2[[#This Row],[!FK]])&gt;0,Table2[[#This Row],[!FK]],"rg:None")</f>
        <v>rg:None</v>
      </c>
      <c r="X63" s="9" t="str">
        <f>IF(LEN(concatif2(A:A,Table2[[#This Row],[!Table]],G:G,"Y",D:D,",")) &gt; 0,"rg:[ { 'req' : '"&amp;concatif2(A:A,Table2[[#This Row],[!Table]],G:G,"Y",D:D,"' }, { 'req': '")&amp;"'} ]","rg:[]")</f>
        <v>rg:[ { 'req' : 'id' }, { 'req': 'noteText'} ]</v>
      </c>
      <c r="Y63" s="9" t="str">
        <f>IF(LEN(Table2[[#This Row],[!Unique]])&gt;0,IF(Table2[[#This Row],[!Type]] = "id", "rg:None","rg:True"),"rg:None")</f>
        <v>rg:None</v>
      </c>
    </row>
    <row r="64" spans="1:25" s="4" customFormat="1" x14ac:dyDescent="0.35">
      <c r="A64" s="20" t="s">
        <v>113</v>
      </c>
      <c r="B64" s="3" t="s">
        <v>4</v>
      </c>
      <c r="C64" s="3"/>
      <c r="D64" s="20" t="s">
        <v>113</v>
      </c>
      <c r="E64" s="48" t="s">
        <v>242</v>
      </c>
      <c r="F64" s="3" t="s">
        <v>5</v>
      </c>
      <c r="I64" s="5" t="str">
        <f t="shared" si="4"/>
        <v>Defs</v>
      </c>
      <c r="J64" t="str">
        <f>IF(Table2[[#This Row],[!Type]]=J$1, J$1,"rg:None")</f>
        <v>rg:None</v>
      </c>
      <c r="K64" t="str">
        <f>IF(Table2[[#This Row],[!Type]]=K$1, K$1,"rg:None")</f>
        <v>rg:None</v>
      </c>
      <c r="L64" t="str">
        <f>IF(Table2[[#This Row],[!Type]]=L$1, L$1,"rg:None")</f>
        <v>rg:None</v>
      </c>
      <c r="M64" t="str">
        <f>IF(Table2[[#This Row],[!Type]]=M$1, M$1,"rg:None")</f>
        <v>rg:None</v>
      </c>
      <c r="N64" s="9" t="str">
        <f>IF(Table2[[#This Row],[!Type]]=N$1, N$1,"rg:None")</f>
        <v>rg:None</v>
      </c>
      <c r="O64" s="9" t="str">
        <f>IF(Table2[[#This Row],[!Type]]=O$1, O$1,"rg:None")</f>
        <v>rg:None</v>
      </c>
      <c r="P64" s="5" t="str">
        <f>IF(Table2[[#This Row],[!Type]]=P$1, P$1,"rg:None")</f>
        <v>rg:None</v>
      </c>
      <c r="Q64" s="5" t="str">
        <f>IF(Table2[[#This Row],[!Type]]=Q$1, Q$1,"rg:None")</f>
        <v>rg:None</v>
      </c>
      <c r="R64" s="5" t="str">
        <f>IF(Table2[[#This Row],[!Type]]=R$1, R$1,"rg:None")</f>
        <v>rg:None</v>
      </c>
      <c r="S64" s="5" t="str">
        <f>IF(Table2[[#This Row],[!Type]]=S$1, S$1,"rg:None")</f>
        <v>table</v>
      </c>
      <c r="T64" s="9" t="str">
        <f>IF(LEN(Table2[[#This Row],[!Length]]) &gt; 0, Table2[[#This Row],[!Length]], "rg:None")</f>
        <v>rg:None</v>
      </c>
      <c r="U64" s="9" t="str">
        <f>IF(LEN(Table2[[#This Row],[!Name]]) &gt; 0, Table2[[#This Row],[!Name]], "rg:None")</f>
        <v>Attachment</v>
      </c>
      <c r="V64" s="9" t="str">
        <f>IF(LEN(Table2[[#This Row],[!Description]]) &gt; 0, Table2[[#This Row],[!Description]], "rg:None")</f>
        <v>Attachments uploaded by users about instance of entities - e.g. Credit Trades and Fuel Suppliers</v>
      </c>
      <c r="W64" s="9" t="str">
        <f>IF(LEN(Table2[[#This Row],[!FK]])&gt;0,Table2[[#This Row],[!FK]],"rg:None")</f>
        <v>rg:None</v>
      </c>
      <c r="X64" s="9" t="str">
        <f>IF(LEN(concatif2(A:A,Table2[[#This Row],[!Table]],G:G,"Y",D:D,",")) &gt; 0,"rg:[ { 'req' : '"&amp;concatif2(A:A,Table2[[#This Row],[!Table]],G:G,"Y",D:D,"' }, { 'req': '")&amp;"'} ]","rg:[]")</f>
        <v>rg:[ { 'req' : 'id'} ]</v>
      </c>
      <c r="Y64" s="9" t="str">
        <f>IF(LEN(Table2[[#This Row],[!Unique]])&gt;0,IF(Table2[[#This Row],[!Type]] = "id", "rg:None","rg:True"),"rg:None")</f>
        <v>rg:None</v>
      </c>
    </row>
    <row r="65" spans="1:25" s="4" customFormat="1" x14ac:dyDescent="0.35">
      <c r="A65" s="20" t="s">
        <v>113</v>
      </c>
      <c r="B65" s="3" t="s">
        <v>6</v>
      </c>
      <c r="C65" s="3"/>
      <c r="D65" s="3" t="s">
        <v>6</v>
      </c>
      <c r="E65" s="29" t="s">
        <v>142</v>
      </c>
      <c r="F65" s="3" t="s">
        <v>5</v>
      </c>
      <c r="G65" s="4" t="s">
        <v>69</v>
      </c>
      <c r="H65" s="32" t="s">
        <v>69</v>
      </c>
      <c r="I65" s="5" t="str">
        <f t="shared" si="4"/>
        <v>Defs</v>
      </c>
      <c r="J65" t="str">
        <f>IF(Table2[[#This Row],[!Type]]=J$1, J$1,"rg:None")</f>
        <v>rg:None</v>
      </c>
      <c r="K65" t="str">
        <f>IF(Table2[[#This Row],[!Type]]=K$1, K$1,"rg:None")</f>
        <v>rg:None</v>
      </c>
      <c r="L65" t="str">
        <f>IF(Table2[[#This Row],[!Type]]=L$1, L$1,"rg:None")</f>
        <v>rg:None</v>
      </c>
      <c r="M65" t="str">
        <f>IF(Table2[[#This Row],[!Type]]=M$1, M$1,"rg:None")</f>
        <v>id</v>
      </c>
      <c r="N65" s="9" t="str">
        <f>IF(Table2[[#This Row],[!Type]]=N$1, N$1,"rg:None")</f>
        <v>rg:None</v>
      </c>
      <c r="O65" s="9" t="str">
        <f>IF(Table2[[#This Row],[!Type]]=O$1, O$1,"rg:None")</f>
        <v>rg:None</v>
      </c>
      <c r="P65" s="5" t="str">
        <f>IF(Table2[[#This Row],[!Type]]=P$1, P$1,"rg:None")</f>
        <v>rg:None</v>
      </c>
      <c r="Q65" s="5" t="str">
        <f>IF(Table2[[#This Row],[!Type]]=Q$1, Q$1,"rg:None")</f>
        <v>rg:None</v>
      </c>
      <c r="R65" s="5" t="str">
        <f>IF(Table2[[#This Row],[!Type]]=R$1, R$1,"rg:None")</f>
        <v>rg:None</v>
      </c>
      <c r="S65" s="5" t="str">
        <f>IF(Table2[[#This Row],[!Type]]=S$1, S$1,"rg:None")</f>
        <v>rg:None</v>
      </c>
      <c r="T65" s="9" t="str">
        <f>IF(LEN(Table2[[#This Row],[!Length]]) &gt; 0, Table2[[#This Row],[!Length]], "rg:None")</f>
        <v>rg:None</v>
      </c>
      <c r="U65" s="9" t="str">
        <f>IF(LEN(Table2[[#This Row],[!Name]]) &gt; 0, Table2[[#This Row],[!Name]], "rg:None")</f>
        <v>id</v>
      </c>
      <c r="V65" s="9" t="str">
        <f>IF(LEN(Table2[[#This Row],[!Description]]) &gt; 0, Table2[[#This Row],[!Description]], "rg:None")</f>
        <v>A system-generated unique identifier for an Attachment</v>
      </c>
      <c r="W65" s="9" t="str">
        <f>IF(LEN(Table2[[#This Row],[!FK]])&gt;0,Table2[[#This Row],[!FK]],"rg:None")</f>
        <v>rg:None</v>
      </c>
      <c r="X65" s="9" t="str">
        <f>IF(LEN(concatif2(A:A,Table2[[#This Row],[!Table]],G:G,"Y",D:D,",")) &gt; 0,"rg:[ { 'req' : '"&amp;concatif2(A:A,Table2[[#This Row],[!Table]],G:G,"Y",D:D,"' }, { 'req': '")&amp;"'} ]","rg:[]")</f>
        <v>rg:[ { 'req' : 'id'} ]</v>
      </c>
      <c r="Y65" s="9" t="str">
        <f>IF(LEN(Table2[[#This Row],[!Unique]])&gt;0,IF(Table2[[#This Row],[!Type]] = "id", "rg:None","rg:True"),"rg:None")</f>
        <v>rg:None</v>
      </c>
    </row>
    <row r="66" spans="1:25" s="4" customFormat="1" x14ac:dyDescent="0.35">
      <c r="A66" s="20" t="s">
        <v>113</v>
      </c>
      <c r="B66" s="3" t="s">
        <v>7</v>
      </c>
      <c r="C66" s="3"/>
      <c r="D66" s="36" t="s">
        <v>171</v>
      </c>
      <c r="E66" s="38" t="s">
        <v>172</v>
      </c>
      <c r="F66" s="3" t="s">
        <v>5</v>
      </c>
      <c r="G66" s="32"/>
      <c r="H66" s="32"/>
      <c r="I66" s="5" t="str">
        <f t="shared" si="4"/>
        <v>Defs</v>
      </c>
      <c r="J66" t="str">
        <f>IF(Table2[[#This Row],[!Type]]=J$1, J$1,"rg:None")</f>
        <v>rg:None</v>
      </c>
      <c r="K66" t="str">
        <f>IF(Table2[[#This Row],[!Type]]=K$1, K$1,"rg:None")</f>
        <v>rg:None</v>
      </c>
      <c r="L66" t="str">
        <f>IF(Table2[[#This Row],[!Type]]=L$1, L$1,"rg:None")</f>
        <v>rg:None</v>
      </c>
      <c r="M66" t="str">
        <f>IF(Table2[[#This Row],[!Type]]=M$1, M$1,"rg:None")</f>
        <v>rg:None</v>
      </c>
      <c r="N66" s="9" t="str">
        <f>IF(Table2[[#This Row],[!Type]]=N$1, N$1,"rg:None")</f>
        <v>rg:None</v>
      </c>
      <c r="O66" s="9"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9" t="str">
        <f>IF(LEN(Table2[[#This Row],[!Length]]) &gt; 0, Table2[[#This Row],[!Length]], "rg:None")</f>
        <v>rg:None</v>
      </c>
      <c r="U66" s="9" t="str">
        <f>IF(LEN(Table2[[#This Row],[!Name]]) &gt; 0, Table2[[#This Row],[!Name]], "rg:None")</f>
        <v>fileName</v>
      </c>
      <c r="V66" s="9" t="str">
        <f>IF(LEN(Table2[[#This Row],[!Description]]) &gt; 0, Table2[[#This Row],[!Description]], "rg:None")</f>
        <v>Filename as passed by the user uploading the file</v>
      </c>
      <c r="W66" s="9" t="str">
        <f>IF(LEN(Table2[[#This Row],[!FK]])&gt;0,Table2[[#This Row],[!FK]],"rg:None")</f>
        <v>rg:None</v>
      </c>
      <c r="X66" s="9" t="str">
        <f>IF(LEN(concatif2(A:A,Table2[[#This Row],[!Table]],G:G,"Y",D:D,",")) &gt; 0,"rg:[ { 'req' : '"&amp;concatif2(A:A,Table2[[#This Row],[!Table]],G:G,"Y",D:D,"' }, { 'req': '")&amp;"'} ]","rg:[]")</f>
        <v>rg:[ { 'req' : 'id'} ]</v>
      </c>
      <c r="Y66" s="9" t="str">
        <f>IF(LEN(Table2[[#This Row],[!Unique]])&gt;0,IF(Table2[[#This Row],[!Type]] = "id", "rg:None","rg:True"),"rg:None")</f>
        <v>rg:None</v>
      </c>
    </row>
    <row r="67" spans="1:25" s="4" customFormat="1" x14ac:dyDescent="0.35">
      <c r="A67" s="20" t="s">
        <v>113</v>
      </c>
      <c r="B67" s="36" t="s">
        <v>126</v>
      </c>
      <c r="C67" s="3"/>
      <c r="D67" s="36" t="s">
        <v>174</v>
      </c>
      <c r="E67" s="38" t="s">
        <v>173</v>
      </c>
      <c r="F67" s="3" t="s">
        <v>5</v>
      </c>
      <c r="G67" s="32"/>
      <c r="H67" s="32"/>
      <c r="I67" s="5" t="str">
        <f t="shared" si="4"/>
        <v>Defs</v>
      </c>
      <c r="J67" t="str">
        <f>IF(Table2[[#This Row],[!Type]]=J$1, J$1,"rg:None")</f>
        <v>rg:None</v>
      </c>
      <c r="K67" t="str">
        <f>IF(Table2[[#This Row],[!Type]]=K$1, K$1,"rg:None")</f>
        <v>binary</v>
      </c>
      <c r="L67" t="str">
        <f>IF(Table2[[#This Row],[!Type]]=L$1, L$1,"rg:None")</f>
        <v>rg:None</v>
      </c>
      <c r="M67" t="str">
        <f>IF(Table2[[#This Row],[!Type]]=M$1, M$1,"rg:None")</f>
        <v>rg:None</v>
      </c>
      <c r="N67" s="9" t="str">
        <f>IF(Table2[[#This Row],[!Type]]=N$1, N$1,"rg:None")</f>
        <v>rg:None</v>
      </c>
      <c r="O67" s="9" t="str">
        <f>IF(Table2[[#This Row],[!Type]]=O$1, O$1,"rg:None")</f>
        <v>rg:None</v>
      </c>
      <c r="P67" s="5" t="str">
        <f>IF(Table2[[#This Row],[!Type]]=P$1, P$1,"rg:None")</f>
        <v>rg:None</v>
      </c>
      <c r="Q67" s="5" t="str">
        <f>IF(Table2[[#This Row],[!Type]]=Q$1, Q$1,"rg:None")</f>
        <v>rg:None</v>
      </c>
      <c r="R67" s="5" t="str">
        <f>IF(Table2[[#This Row],[!Type]]=R$1, R$1,"rg:None")</f>
        <v>rg:None</v>
      </c>
      <c r="S67" s="5" t="str">
        <f>IF(Table2[[#This Row],[!Type]]=S$1, S$1,"rg:None")</f>
        <v>rg:None</v>
      </c>
      <c r="T67" s="9" t="str">
        <f>IF(LEN(Table2[[#This Row],[!Length]]) &gt; 0, Table2[[#This Row],[!Length]], "rg:None")</f>
        <v>rg:None</v>
      </c>
      <c r="U67" s="9" t="str">
        <f>IF(LEN(Table2[[#This Row],[!Name]]) &gt; 0, Table2[[#This Row],[!Name]], "rg:None")</f>
        <v>fileContents</v>
      </c>
      <c r="V67" s="9" t="str">
        <f>IF(LEN(Table2[[#This Row],[!Description]]) &gt; 0, Table2[[#This Row],[!Description]], "rg:None")</f>
        <v>Binary contents of the file</v>
      </c>
      <c r="W67" s="9" t="str">
        <f>IF(LEN(Table2[[#This Row],[!FK]])&gt;0,Table2[[#This Row],[!FK]],"rg:None")</f>
        <v>rg:None</v>
      </c>
      <c r="X67" s="9" t="str">
        <f>IF(LEN(concatif2(A:A,Table2[[#This Row],[!Table]],G:G,"Y",D:D,",")) &gt; 0,"rg:[ { 'req' : '"&amp;concatif2(A:A,Table2[[#This Row],[!Table]],G:G,"Y",D:D,"' }, { 'req': '")&amp;"'} ]","rg:[]")</f>
        <v>rg:[ { 'req' : 'id'} ]</v>
      </c>
      <c r="Y67" s="9" t="str">
        <f>IF(LEN(Table2[[#This Row],[!Unique]])&gt;0,IF(Table2[[#This Row],[!Type]] = "id", "rg:None","rg:True"),"rg:None")</f>
        <v>rg:None</v>
      </c>
    </row>
    <row r="68" spans="1:25" s="4" customFormat="1" x14ac:dyDescent="0.35">
      <c r="A68" s="20" t="s">
        <v>113</v>
      </c>
      <c r="B68" s="3" t="s">
        <v>7</v>
      </c>
      <c r="C68" s="3"/>
      <c r="D68" s="3" t="s">
        <v>15</v>
      </c>
      <c r="E68" s="23" t="s">
        <v>16</v>
      </c>
      <c r="F68" s="3" t="s">
        <v>5</v>
      </c>
      <c r="I68" s="5" t="str">
        <f t="shared" si="4"/>
        <v>Defs</v>
      </c>
      <c r="J68" t="str">
        <f>IF(Table2[[#This Row],[!Type]]=J$1, J$1,"rg:None")</f>
        <v>rg:None</v>
      </c>
      <c r="K68" t="str">
        <f>IF(Table2[[#This Row],[!Type]]=K$1, K$1,"rg:None")</f>
        <v>rg:None</v>
      </c>
      <c r="L68" t="str">
        <f>IF(Table2[[#This Row],[!Type]]=L$1, L$1,"rg:None")</f>
        <v>rg:None</v>
      </c>
      <c r="M68" t="str">
        <f>IF(Table2[[#This Row],[!Type]]=M$1, M$1,"rg:None")</f>
        <v>rg:None</v>
      </c>
      <c r="N68" s="9" t="str">
        <f>IF(Table2[[#This Row],[!Type]]=N$1, N$1,"rg:None")</f>
        <v>rg:None</v>
      </c>
      <c r="O68" s="9"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9" t="str">
        <f>IF(LEN(Table2[[#This Row],[!Length]]) &gt; 0, Table2[[#This Row],[!Length]], "rg:None")</f>
        <v>rg:None</v>
      </c>
      <c r="U68" s="9" t="str">
        <f>IF(LEN(Table2[[#This Row],[!Name]]) &gt; 0, Table2[[#This Row],[!Name]], "rg:None")</f>
        <v>description</v>
      </c>
      <c r="V68" s="9" t="str">
        <f>IF(LEN(Table2[[#This Row],[!Description]]) &gt; 0, Table2[[#This Row],[!Description]], "rg:None")</f>
        <v>A note about the attachment,  optionally maintained by the user.</v>
      </c>
      <c r="W68" s="9" t="str">
        <f>IF(LEN(Table2[[#This Row],[!FK]])&gt;0,Table2[[#This Row],[!FK]],"rg:None")</f>
        <v>rg:None</v>
      </c>
      <c r="X68" s="9" t="str">
        <f>IF(LEN(concatif2(A:A,Table2[[#This Row],[!Table]],G:G,"Y",D:D,",")) &gt; 0,"rg:[ { 'req' : '"&amp;concatif2(A:A,Table2[[#This Row],[!Table]],G:G,"Y",D:D,"' }, { 'req': '")&amp;"'} ]","rg:[]")</f>
        <v>rg:[ { 'req' : 'id'} ]</v>
      </c>
      <c r="Y68" s="9" t="str">
        <f>IF(LEN(Table2[[#This Row],[!Unique]])&gt;0,IF(Table2[[#This Row],[!Type]] = "id", "rg:None","rg:True"),"rg:None")</f>
        <v>rg:None</v>
      </c>
    </row>
    <row r="69" spans="1:25" s="4" customFormat="1" x14ac:dyDescent="0.35">
      <c r="A69" s="37" t="s">
        <v>113</v>
      </c>
      <c r="B69" s="37" t="s">
        <v>7</v>
      </c>
      <c r="C69" s="3"/>
      <c r="D69" s="37" t="s">
        <v>28</v>
      </c>
      <c r="E69" s="37" t="s">
        <v>170</v>
      </c>
      <c r="F69" s="6"/>
      <c r="G69" s="16"/>
      <c r="H69" s="16"/>
      <c r="I69" s="4" t="str">
        <f>IF(LEN(A69) &gt; 0,"Defs","-")</f>
        <v>Defs</v>
      </c>
      <c r="J69" s="14" t="str">
        <f>IF(Table2[[#This Row],[!Type]]=J$1, J$1,"rg:None")</f>
        <v>rg:None</v>
      </c>
      <c r="K69" s="27" t="str">
        <f>IF(Table2[[#This Row],[!Type]]=K$1, K$1,"rg:None")</f>
        <v>rg:None</v>
      </c>
      <c r="L69" s="14" t="str">
        <f>IF(Table2[[#This Row],[!Type]]=L$1, L$1,"rg:None")</f>
        <v>rg:None</v>
      </c>
      <c r="M69" s="14" t="str">
        <f>IF(Table2[[#This Row],[!Type]]=M$1, M$1,"rg:None")</f>
        <v>rg:None</v>
      </c>
      <c r="N69" s="14" t="str">
        <f>IF(Table2[[#This Row],[!Type]]=N$1, N$1,"rg:None")</f>
        <v>rg:None</v>
      </c>
      <c r="O69" s="1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14" t="str">
        <f>IF(LEN(Table2[[#This Row],[!Length]]) &gt; 0, Table2[[#This Row],[!Length]], "rg:None")</f>
        <v>rg:None</v>
      </c>
      <c r="U69" s="14" t="str">
        <f>IF(LEN(Table2[[#This Row],[!Name]]) &gt; 0, Table2[[#This Row],[!Name]], "rg:None")</f>
        <v>type</v>
      </c>
      <c r="V69" s="14" t="str">
        <f>IF(LEN(Table2[[#This Row],[!Description]]) &gt; 0, Table2[[#This Row],[!Description]], "rg:None")</f>
        <v>Type of attachment</v>
      </c>
      <c r="W69" s="14" t="str">
        <f>IF(LEN(Table2[[#This Row],[!FK]])&gt;0,Table2[[#This Row],[!FK]],"rg:None")</f>
        <v>rg:None</v>
      </c>
      <c r="X69" s="14" t="str">
        <f>IF(LEN(concatif2(A:A,Table2[[#This Row],[!Table]],G:G,"Y",D:D,",")) &gt; 0,"rg:[ { 'req' : '"&amp;concatif2(A:A,Table2[[#This Row],[!Table]],G:G,"Y",D:D,"' }, { 'req': '")&amp;"'} ]","rg:[]")</f>
        <v>rg:[ { 'req' : 'id'} ]</v>
      </c>
      <c r="Y69" s="14" t="str">
        <f>IF(LEN(Table2[[#This Row],[!Unique]])&gt;0,IF(Table2[[#This Row],[!Type]] = "id", "rg:None","rg:True"),"rg:None")</f>
        <v>rg:None</v>
      </c>
    </row>
    <row r="70" spans="1:25" s="4" customFormat="1" x14ac:dyDescent="0.35">
      <c r="A70" s="20" t="s">
        <v>115</v>
      </c>
      <c r="B70" s="3" t="s">
        <v>4</v>
      </c>
      <c r="C70" s="3"/>
      <c r="D70" s="20" t="s">
        <v>115</v>
      </c>
      <c r="E70" s="48" t="s">
        <v>243</v>
      </c>
      <c r="F70" s="3" t="s">
        <v>5</v>
      </c>
      <c r="I70" s="5" t="str">
        <f t="shared" si="4"/>
        <v>Defs</v>
      </c>
      <c r="J70" t="str">
        <f>IF(Table2[[#This Row],[!Type]]=J$1, J$1,"rg:None")</f>
        <v>rg:None</v>
      </c>
      <c r="K70" t="str">
        <f>IF(Table2[[#This Row],[!Type]]=K$1, K$1,"rg:None")</f>
        <v>rg:None</v>
      </c>
      <c r="L70" t="str">
        <f>IF(Table2[[#This Row],[!Type]]=L$1, L$1,"rg:None")</f>
        <v>rg:None</v>
      </c>
      <c r="M70" t="str">
        <f>IF(Table2[[#This Row],[!Type]]=M$1, M$1,"rg:None")</f>
        <v>rg:None</v>
      </c>
      <c r="N70" s="9" t="str">
        <f>IF(Table2[[#This Row],[!Type]]=N$1, N$1,"rg:None")</f>
        <v>rg:None</v>
      </c>
      <c r="O70" s="9" t="str">
        <f>IF(Table2[[#This Row],[!Type]]=O$1, O$1,"rg:None")</f>
        <v>rg:None</v>
      </c>
      <c r="P70" s="5" t="str">
        <f>IF(Table2[[#This Row],[!Type]]=P$1, P$1,"rg:None")</f>
        <v>rg:None</v>
      </c>
      <c r="Q70" s="5" t="str">
        <f>IF(Table2[[#This Row],[!Type]]=Q$1, Q$1,"rg:None")</f>
        <v>rg:None</v>
      </c>
      <c r="R70" s="5" t="str">
        <f>IF(Table2[[#This Row],[!Type]]=R$1, R$1,"rg:None")</f>
        <v>rg:None</v>
      </c>
      <c r="S70" s="5" t="str">
        <f>IF(Table2[[#This Row],[!Type]]=S$1, S$1,"rg:None")</f>
        <v>table</v>
      </c>
      <c r="T70" s="9" t="str">
        <f>IF(LEN(Table2[[#This Row],[!Length]]) &gt; 0, Table2[[#This Row],[!Length]], "rg:None")</f>
        <v>rg:None</v>
      </c>
      <c r="U70" s="9" t="str">
        <f>IF(LEN(Table2[[#This Row],[!Name]]) &gt; 0, Table2[[#This Row],[!Name]], "rg:None")</f>
        <v>History</v>
      </c>
      <c r="V70" s="9" t="str">
        <f>IF(LEN(Table2[[#This Row],[!Description]]) &gt; 0, Table2[[#This Row],[!Description]], "rg:None")</f>
        <v>The history of updates made to an entity - e.g. a Credit Trades and Fuel Suppliers</v>
      </c>
      <c r="W70" s="9" t="str">
        <f>IF(LEN(Table2[[#This Row],[!FK]])&gt;0,Table2[[#This Row],[!FK]],"rg:None")</f>
        <v>rg:None</v>
      </c>
      <c r="X70" s="9" t="str">
        <f>IF(LEN(concatif2(A:A,Table2[[#This Row],[!Table]],G:G,"Y",D:D,",")) &gt; 0,"rg:[ { 'req' : '"&amp;concatif2(A:A,Table2[[#This Row],[!Table]],G:G,"Y",D:D,"' }, { 'req': '")&amp;"'} ]","rg:[]")</f>
        <v>rg:[ { 'req' : 'id' }, { 'req': 'historyText'} ]</v>
      </c>
      <c r="Y70" s="9" t="str">
        <f>IF(LEN(Table2[[#This Row],[!Unique]])&gt;0,IF(Table2[[#This Row],[!Type]] = "id", "rg:None","rg:True"),"rg:None")</f>
        <v>rg:None</v>
      </c>
    </row>
    <row r="71" spans="1:25" s="4" customFormat="1" x14ac:dyDescent="0.35">
      <c r="A71" s="20" t="s">
        <v>115</v>
      </c>
      <c r="B71" s="3" t="s">
        <v>6</v>
      </c>
      <c r="C71" s="3"/>
      <c r="D71" s="3" t="s">
        <v>6</v>
      </c>
      <c r="E71" s="23" t="s">
        <v>130</v>
      </c>
      <c r="F71" s="3" t="s">
        <v>5</v>
      </c>
      <c r="G71" s="4" t="s">
        <v>69</v>
      </c>
      <c r="H71" s="32" t="s">
        <v>69</v>
      </c>
      <c r="I71" s="5" t="str">
        <f t="shared" si="4"/>
        <v>Defs</v>
      </c>
      <c r="J71" t="str">
        <f>IF(Table2[[#This Row],[!Type]]=J$1, J$1,"rg:None")</f>
        <v>rg:None</v>
      </c>
      <c r="K71" t="str">
        <f>IF(Table2[[#This Row],[!Type]]=K$1, K$1,"rg:None")</f>
        <v>rg:None</v>
      </c>
      <c r="L71" t="str">
        <f>IF(Table2[[#This Row],[!Type]]=L$1, L$1,"rg:None")</f>
        <v>rg:None</v>
      </c>
      <c r="M71" t="str">
        <f>IF(Table2[[#This Row],[!Type]]=M$1, M$1,"rg:None")</f>
        <v>id</v>
      </c>
      <c r="N71" s="9" t="str">
        <f>IF(Table2[[#This Row],[!Type]]=N$1, N$1,"rg:None")</f>
        <v>rg:None</v>
      </c>
      <c r="O71" s="9"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rg:None</v>
      </c>
      <c r="T71" s="9" t="str">
        <f>IF(LEN(Table2[[#This Row],[!Length]]) &gt; 0, Table2[[#This Row],[!Length]], "rg:None")</f>
        <v>rg:None</v>
      </c>
      <c r="U71" s="9" t="str">
        <f>IF(LEN(Table2[[#This Row],[!Name]]) &gt; 0, Table2[[#This Row],[!Name]], "rg:None")</f>
        <v>id</v>
      </c>
      <c r="V71" s="9" t="str">
        <f>IF(LEN(Table2[[#This Row],[!Description]]) &gt; 0, Table2[[#This Row],[!Description]], "rg:None")</f>
        <v>A system-generated unique identifier for a History</v>
      </c>
      <c r="W71" s="9" t="str">
        <f>IF(LEN(Table2[[#This Row],[!FK]])&gt;0,Table2[[#This Row],[!FK]],"rg:None")</f>
        <v>rg:None</v>
      </c>
      <c r="X71" s="9" t="str">
        <f>IF(LEN(concatif2(A:A,Table2[[#This Row],[!Table]],G:G,"Y",D:D,",")) &gt; 0,"rg:[ { 'req' : '"&amp;concatif2(A:A,Table2[[#This Row],[!Table]],G:G,"Y",D:D,"' }, { 'req': '")&amp;"'} ]","rg:[]")</f>
        <v>rg:[ { 'req' : 'id' }, { 'req': 'historyText'} ]</v>
      </c>
      <c r="Y71" s="9" t="str">
        <f>IF(LEN(Table2[[#This Row],[!Unique]])&gt;0,IF(Table2[[#This Row],[!Type]] = "id", "rg:None","rg:True"),"rg:None")</f>
        <v>rg:None</v>
      </c>
    </row>
    <row r="72" spans="1:25" s="4" customFormat="1" x14ac:dyDescent="0.35">
      <c r="A72" s="20" t="s">
        <v>115</v>
      </c>
      <c r="B72" s="20" t="s">
        <v>7</v>
      </c>
      <c r="C72" s="3"/>
      <c r="D72" s="20" t="s">
        <v>120</v>
      </c>
      <c r="E72" s="24" t="s">
        <v>117</v>
      </c>
      <c r="F72" s="3"/>
      <c r="G72" s="32" t="s">
        <v>69</v>
      </c>
      <c r="I72" s="5" t="str">
        <f t="shared" si="4"/>
        <v>Defs</v>
      </c>
      <c r="J72" t="str">
        <f>IF(Table2[[#This Row],[!Type]]=J$1, J$1,"rg:None")</f>
        <v>rg:None</v>
      </c>
      <c r="K72" t="str">
        <f>IF(Table2[[#This Row],[!Type]]=K$1, K$1,"rg:None")</f>
        <v>rg:None</v>
      </c>
      <c r="L72" t="str">
        <f>IF(Table2[[#This Row],[!Type]]=L$1, L$1,"rg:None")</f>
        <v>rg:None</v>
      </c>
      <c r="M72" t="str">
        <f>IF(Table2[[#This Row],[!Type]]=M$1, M$1,"rg:None")</f>
        <v>rg:None</v>
      </c>
      <c r="N72" s="9" t="str">
        <f>IF(Table2[[#This Row],[!Type]]=N$1, N$1,"rg:None")</f>
        <v>rg:None</v>
      </c>
      <c r="O72" s="9"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9" t="str">
        <f>IF(LEN(Table2[[#This Row],[!Length]]) &gt; 0, Table2[[#This Row],[!Length]], "rg:None")</f>
        <v>rg:None</v>
      </c>
      <c r="U72" s="9" t="str">
        <f>IF(LEN(Table2[[#This Row],[!Name]]) &gt; 0, Table2[[#This Row],[!Name]], "rg:None")</f>
        <v>historyText</v>
      </c>
      <c r="V72" s="9" t="str">
        <f>IF(LEN(Table2[[#This Row],[!Description]]) &gt; 0, Table2[[#This Row],[!Description]], "rg:None")</f>
        <v>The text of the history entry tracked against the related entity.</v>
      </c>
      <c r="W72" s="9" t="str">
        <f>IF(LEN(Table2[[#This Row],[!FK]])&gt;0,Table2[[#This Row],[!FK]],"rg:None")</f>
        <v>rg:None</v>
      </c>
      <c r="X72" s="9" t="str">
        <f>IF(LEN(concatif2(A:A,Table2[[#This Row],[!Table]],G:G,"Y",D:D,",")) &gt; 0,"rg:[ { 'req' : '"&amp;concatif2(A:A,Table2[[#This Row],[!Table]],G:G,"Y",D:D,"' }, { 'req': '")&amp;"'} ]","rg:[]")</f>
        <v>rg:[ { 'req' : 'id' }, { 'req': 'historyText'} ]</v>
      </c>
      <c r="Y72" s="9" t="str">
        <f>IF(LEN(Table2[[#This Row],[!Unique]])&gt;0,IF(Table2[[#This Row],[!Type]] = "id", "rg:None","rg:True"),"rg:None")</f>
        <v>rg:None</v>
      </c>
    </row>
    <row r="73" spans="1:25" s="4" customFormat="1" x14ac:dyDescent="0.35">
      <c r="A73" s="20" t="s">
        <v>118</v>
      </c>
      <c r="B73" s="3" t="s">
        <v>4</v>
      </c>
      <c r="C73" s="3"/>
      <c r="D73" s="20" t="s">
        <v>118</v>
      </c>
      <c r="E73" s="30" t="s">
        <v>168</v>
      </c>
      <c r="F73" s="3" t="s">
        <v>5</v>
      </c>
      <c r="I73" s="5" t="str">
        <f t="shared" si="4"/>
        <v>Defs</v>
      </c>
      <c r="J73" t="str">
        <f>IF(Table2[[#This Row],[!Type]]=J$1, J$1,"rg:None")</f>
        <v>rg:None</v>
      </c>
      <c r="K73" t="str">
        <f>IF(Table2[[#This Row],[!Type]]=K$1, K$1,"rg:None")</f>
        <v>rg:None</v>
      </c>
      <c r="L73" t="str">
        <f>IF(Table2[[#This Row],[!Type]]=L$1, L$1,"rg:None")</f>
        <v>rg:None</v>
      </c>
      <c r="M73" t="str">
        <f>IF(Table2[[#This Row],[!Type]]=M$1, M$1,"rg:None")</f>
        <v>rg:None</v>
      </c>
      <c r="N73" s="9" t="str">
        <f>IF(Table2[[#This Row],[!Type]]=N$1, N$1,"rg:None")</f>
        <v>rg:None</v>
      </c>
      <c r="O73" s="9" t="str">
        <f>IF(Table2[[#This Row],[!Type]]=O$1, O$1,"rg:None")</f>
        <v>rg:None</v>
      </c>
      <c r="P73" s="5" t="str">
        <f>IF(Table2[[#This Row],[!Type]]=P$1, P$1,"rg:None")</f>
        <v>rg:None</v>
      </c>
      <c r="Q73" s="5" t="str">
        <f>IF(Table2[[#This Row],[!Type]]=Q$1, Q$1,"rg:None")</f>
        <v>rg:None</v>
      </c>
      <c r="R73" s="5" t="str">
        <f>IF(Table2[[#This Row],[!Type]]=R$1, R$1,"rg:None")</f>
        <v>rg:None</v>
      </c>
      <c r="S73" s="5" t="str">
        <f>IF(Table2[[#This Row],[!Type]]=S$1, S$1,"rg:None")</f>
        <v>table</v>
      </c>
      <c r="T73" s="9" t="str">
        <f>IF(LEN(Table2[[#This Row],[!Length]]) &gt; 0, Table2[[#This Row],[!Length]], "rg:None")</f>
        <v>rg:None</v>
      </c>
      <c r="U73" s="9" t="str">
        <f>IF(LEN(Table2[[#This Row],[!Name]]) &gt; 0, Table2[[#This Row],[!Name]], "rg:None")</f>
        <v>Contact</v>
      </c>
      <c r="V73" s="9" t="str">
        <f>IF(LEN(Table2[[#This Row],[!Description]]) &gt; 0, Table2[[#This Row],[!Description]], "rg:None")</f>
        <v>A table of contacts related to various entities in the system. FK fields are used to link contacts to records in the system.</v>
      </c>
      <c r="W73" s="9" t="str">
        <f>IF(LEN(Table2[[#This Row],[!FK]])&gt;0,Table2[[#This Row],[!FK]],"rg:None")</f>
        <v>rg:None</v>
      </c>
      <c r="X73" s="9" t="str">
        <f>IF(LEN(concatif2(A:A,Table2[[#This Row],[!Table]],G:G,"Y",D:D,",")) &gt; 0,"rg:[ { 'req' : '"&amp;concatif2(A:A,Table2[[#This Row],[!Table]],G:G,"Y",D:D,"' }, { 'req': '")&amp;"'} ]","rg:[]")</f>
        <v>rg:[ { 'req' : 'id'} ]</v>
      </c>
      <c r="Y73" s="9" t="str">
        <f>IF(LEN(Table2[[#This Row],[!Unique]])&gt;0,IF(Table2[[#This Row],[!Type]] = "id", "rg:None","rg:True"),"rg:None")</f>
        <v>rg:None</v>
      </c>
    </row>
    <row r="74" spans="1:25" s="4" customFormat="1" x14ac:dyDescent="0.35">
      <c r="A74" s="20" t="s">
        <v>118</v>
      </c>
      <c r="B74" s="3" t="s">
        <v>6</v>
      </c>
      <c r="C74" s="3"/>
      <c r="D74" s="3" t="s">
        <v>6</v>
      </c>
      <c r="E74" s="23" t="s">
        <v>131</v>
      </c>
      <c r="F74" s="3" t="s">
        <v>5</v>
      </c>
      <c r="G74" s="4" t="s">
        <v>69</v>
      </c>
      <c r="H74" s="32" t="s">
        <v>69</v>
      </c>
      <c r="I74" s="5" t="str">
        <f t="shared" si="4"/>
        <v>Defs</v>
      </c>
      <c r="J74" t="str">
        <f>IF(Table2[[#This Row],[!Type]]=J$1, J$1,"rg:None")</f>
        <v>rg:None</v>
      </c>
      <c r="K74" t="str">
        <f>IF(Table2[[#This Row],[!Type]]=K$1, K$1,"rg:None")</f>
        <v>rg:None</v>
      </c>
      <c r="L74" t="str">
        <f>IF(Table2[[#This Row],[!Type]]=L$1, L$1,"rg:None")</f>
        <v>rg:None</v>
      </c>
      <c r="M74" t="str">
        <f>IF(Table2[[#This Row],[!Type]]=M$1, M$1,"rg:None")</f>
        <v>id</v>
      </c>
      <c r="N74" s="9" t="str">
        <f>IF(Table2[[#This Row],[!Type]]=N$1, N$1,"rg:None")</f>
        <v>rg:None</v>
      </c>
      <c r="O74" s="9" t="str">
        <f>IF(Table2[[#This Row],[!Type]]=O$1, O$1,"rg:None")</f>
        <v>rg:None</v>
      </c>
      <c r="P74" s="5" t="str">
        <f>IF(Table2[[#This Row],[!Type]]=P$1, P$1,"rg:None")</f>
        <v>rg:None</v>
      </c>
      <c r="Q74" s="5" t="str">
        <f>IF(Table2[[#This Row],[!Type]]=Q$1, Q$1,"rg:None")</f>
        <v>rg:None</v>
      </c>
      <c r="R74" s="5" t="str">
        <f>IF(Table2[[#This Row],[!Type]]=R$1, R$1,"rg:None")</f>
        <v>rg:None</v>
      </c>
      <c r="S74" s="5" t="str">
        <f>IF(Table2[[#This Row],[!Type]]=S$1, S$1,"rg:None")</f>
        <v>rg:None</v>
      </c>
      <c r="T74" s="9" t="str">
        <f>IF(LEN(Table2[[#This Row],[!Length]]) &gt; 0, Table2[[#This Row],[!Length]], "rg:None")</f>
        <v>rg:None</v>
      </c>
      <c r="U74" s="9" t="str">
        <f>IF(LEN(Table2[[#This Row],[!Name]]) &gt; 0, Table2[[#This Row],[!Name]], "rg:None")</f>
        <v>id</v>
      </c>
      <c r="V74" s="9" t="str">
        <f>IF(LEN(Table2[[#This Row],[!Description]]) &gt; 0, Table2[[#This Row],[!Description]], "rg:None")</f>
        <v>A system-generated unique identifier for a Contact</v>
      </c>
      <c r="W74" s="9" t="str">
        <f>IF(LEN(Table2[[#This Row],[!FK]])&gt;0,Table2[[#This Row],[!FK]],"rg:None")</f>
        <v>rg:None</v>
      </c>
      <c r="X74" s="9" t="str">
        <f>IF(LEN(concatif2(A:A,Table2[[#This Row],[!Table]],G:G,"Y",D:D,",")) &gt; 0,"rg:[ { 'req' : '"&amp;concatif2(A:A,Table2[[#This Row],[!Table]],G:G,"Y",D:D,"' }, { 'req': '")&amp;"'} ]","rg:[]")</f>
        <v>rg:[ { 'req' : 'id'} ]</v>
      </c>
      <c r="Y74" s="9" t="str">
        <f>IF(LEN(Table2[[#This Row],[!Unique]])&gt;0,IF(Table2[[#This Row],[!Type]] = "id", "rg:None","rg:True"),"rg:None")</f>
        <v>rg:None</v>
      </c>
    </row>
    <row r="75" spans="1:25" s="4" customFormat="1" x14ac:dyDescent="0.35">
      <c r="A75" s="20" t="s">
        <v>118</v>
      </c>
      <c r="B75" s="3" t="s">
        <v>7</v>
      </c>
      <c r="C75" s="3"/>
      <c r="D75" s="3" t="s">
        <v>21</v>
      </c>
      <c r="E75" s="23" t="s">
        <v>22</v>
      </c>
      <c r="F75" s="3" t="s">
        <v>5</v>
      </c>
      <c r="G75" s="32"/>
      <c r="I75" s="5" t="str">
        <f t="shared" si="4"/>
        <v>Defs</v>
      </c>
      <c r="J75" t="str">
        <f>IF(Table2[[#This Row],[!Type]]=J$1, J$1,"rg:None")</f>
        <v>rg:None</v>
      </c>
      <c r="K75" t="str">
        <f>IF(Table2[[#This Row],[!Type]]=K$1, K$1,"rg:None")</f>
        <v>rg:None</v>
      </c>
      <c r="L75" t="str">
        <f>IF(Table2[[#This Row],[!Type]]=L$1, L$1,"rg:None")</f>
        <v>rg:None</v>
      </c>
      <c r="M75" t="str">
        <f>IF(Table2[[#This Row],[!Type]]=M$1, M$1,"rg:None")</f>
        <v>rg:None</v>
      </c>
      <c r="N75" s="9" t="str">
        <f>IF(Table2[[#This Row],[!Type]]=N$1, N$1,"rg:None")</f>
        <v>rg:None</v>
      </c>
      <c r="O75" s="9"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9" t="str">
        <f>IF(LEN(Table2[[#This Row],[!Length]]) &gt; 0, Table2[[#This Row],[!Length]], "rg:None")</f>
        <v>rg:None</v>
      </c>
      <c r="U75" s="9" t="str">
        <f>IF(LEN(Table2[[#This Row],[!Name]]) &gt; 0, Table2[[#This Row],[!Name]], "rg:None")</f>
        <v>givenName</v>
      </c>
      <c r="V75" s="9" t="str">
        <f>IF(LEN(Table2[[#This Row],[!Description]]) &gt; 0, Table2[[#This Row],[!Description]], "rg:None")</f>
        <v>The given name of the contact.</v>
      </c>
      <c r="W75" s="9" t="str">
        <f>IF(LEN(Table2[[#This Row],[!FK]])&gt;0,Table2[[#This Row],[!FK]],"rg:None")</f>
        <v>rg:None</v>
      </c>
      <c r="X75" s="9" t="str">
        <f>IF(LEN(concatif2(A:A,Table2[[#This Row],[!Table]],G:G,"Y",D:D,",")) &gt; 0,"rg:[ { 'req' : '"&amp;concatif2(A:A,Table2[[#This Row],[!Table]],G:G,"Y",D:D,"' }, { 'req': '")&amp;"'} ]","rg:[]")</f>
        <v>rg:[ { 'req' : 'id'} ]</v>
      </c>
      <c r="Y75" s="9" t="str">
        <f>IF(LEN(Table2[[#This Row],[!Unique]])&gt;0,IF(Table2[[#This Row],[!Type]] = "id", "rg:None","rg:True"),"rg:None")</f>
        <v>rg:None</v>
      </c>
    </row>
    <row r="76" spans="1:25" s="4" customFormat="1" x14ac:dyDescent="0.35">
      <c r="A76" s="20" t="s">
        <v>118</v>
      </c>
      <c r="B76" s="3" t="s">
        <v>7</v>
      </c>
      <c r="C76" s="3"/>
      <c r="D76" s="3" t="s">
        <v>23</v>
      </c>
      <c r="E76" s="23" t="s">
        <v>24</v>
      </c>
      <c r="F76" s="3" t="s">
        <v>5</v>
      </c>
      <c r="G76" s="32"/>
      <c r="I76" s="5" t="str">
        <f t="shared" si="4"/>
        <v>Defs</v>
      </c>
      <c r="J76" t="str">
        <f>IF(Table2[[#This Row],[!Type]]=J$1, J$1,"rg:None")</f>
        <v>rg:None</v>
      </c>
      <c r="K76" t="str">
        <f>IF(Table2[[#This Row],[!Type]]=K$1, K$1,"rg:None")</f>
        <v>rg:None</v>
      </c>
      <c r="L76" t="str">
        <f>IF(Table2[[#This Row],[!Type]]=L$1, L$1,"rg:None")</f>
        <v>rg:None</v>
      </c>
      <c r="M76" t="str">
        <f>IF(Table2[[#This Row],[!Type]]=M$1, M$1,"rg:None")</f>
        <v>rg:None</v>
      </c>
      <c r="N76" s="9" t="str">
        <f>IF(Table2[[#This Row],[!Type]]=N$1, N$1,"rg:None")</f>
        <v>rg:None</v>
      </c>
      <c r="O76" s="9"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9" t="str">
        <f>IF(LEN(Table2[[#This Row],[!Length]]) &gt; 0, Table2[[#This Row],[!Length]], "rg:None")</f>
        <v>rg:None</v>
      </c>
      <c r="U76" s="9" t="str">
        <f>IF(LEN(Table2[[#This Row],[!Name]]) &gt; 0, Table2[[#This Row],[!Name]], "rg:None")</f>
        <v>surname</v>
      </c>
      <c r="V76" s="9" t="str">
        <f>IF(LEN(Table2[[#This Row],[!Description]]) &gt; 0, Table2[[#This Row],[!Description]], "rg:None")</f>
        <v>The surname of the contact.</v>
      </c>
      <c r="W76" s="9" t="str">
        <f>IF(LEN(Table2[[#This Row],[!FK]])&gt;0,Table2[[#This Row],[!FK]],"rg:None")</f>
        <v>rg:None</v>
      </c>
      <c r="X76" s="9" t="str">
        <f>IF(LEN(concatif2(A:A,Table2[[#This Row],[!Table]],G:G,"Y",D:D,",")) &gt; 0,"rg:[ { 'req' : '"&amp;concatif2(A:A,Table2[[#This Row],[!Table]],G:G,"Y",D:D,"' }, { 'req': '")&amp;"'} ]","rg:[]")</f>
        <v>rg:[ { 'req' : 'id'} ]</v>
      </c>
      <c r="Y76" s="9" t="str">
        <f>IF(LEN(Table2[[#This Row],[!Unique]])&gt;0,IF(Table2[[#This Row],[!Type]] = "id", "rg:None","rg:True"),"rg:None")</f>
        <v>rg:None</v>
      </c>
    </row>
    <row r="77" spans="1:25" s="4" customFormat="1" x14ac:dyDescent="0.35">
      <c r="A77" s="40" t="s">
        <v>118</v>
      </c>
      <c r="B77" s="40" t="s">
        <v>7</v>
      </c>
      <c r="C77" s="3"/>
      <c r="D77" s="40" t="s">
        <v>183</v>
      </c>
      <c r="E77" s="40" t="s">
        <v>184</v>
      </c>
      <c r="F77" s="6"/>
      <c r="G77" s="16"/>
      <c r="H77" s="16"/>
      <c r="I77" s="4" t="str">
        <f>IF(LEN(A77) &gt; 0,"Defs","-")</f>
        <v>Defs</v>
      </c>
      <c r="J77" s="14" t="str">
        <f>IF(Table2[[#This Row],[!Type]]=J$1, J$1,"rg:None")</f>
        <v>rg:None</v>
      </c>
      <c r="K77" s="27" t="str">
        <f>IF(Table2[[#This Row],[!Type]]=K$1, K$1,"rg:None")</f>
        <v>rg:None</v>
      </c>
      <c r="L77" s="14" t="str">
        <f>IF(Table2[[#This Row],[!Type]]=L$1, L$1,"rg:None")</f>
        <v>rg:None</v>
      </c>
      <c r="M77" s="14" t="str">
        <f>IF(Table2[[#This Row],[!Type]]=M$1, M$1,"rg:None")</f>
        <v>rg:None</v>
      </c>
      <c r="N77" s="14" t="str">
        <f>IF(Table2[[#This Row],[!Type]]=N$1, N$1,"rg:None")</f>
        <v>rg:None</v>
      </c>
      <c r="O77" s="1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4" t="str">
        <f>IF(LEN(Table2[[#This Row],[!Length]]) &gt; 0, Table2[[#This Row],[!Length]], "rg:None")</f>
        <v>rg:None</v>
      </c>
      <c r="U77" s="14" t="str">
        <f>IF(LEN(Table2[[#This Row],[!Name]]) &gt; 0, Table2[[#This Row],[!Name]], "rg:None")</f>
        <v>organizationName</v>
      </c>
      <c r="V77" s="14" t="str">
        <f>IF(LEN(Table2[[#This Row],[!Description]]) &gt; 0, Table2[[#This Row],[!Description]], "rg:None")</f>
        <v>The organization name of the contact.</v>
      </c>
      <c r="W77" s="14" t="str">
        <f>IF(LEN(Table2[[#This Row],[!FK]])&gt;0,Table2[[#This Row],[!FK]],"rg:None")</f>
        <v>rg:None</v>
      </c>
      <c r="X77" s="14" t="str">
        <f>IF(LEN(concatif2(A:A,Table2[[#This Row],[!Table]],G:G,"Y",D:D,",")) &gt; 0,"rg:[ { 'req' : '"&amp;concatif2(A:A,Table2[[#This Row],[!Table]],G:G,"Y",D:D,"' }, { 'req': '")&amp;"'} ]","rg:[]")</f>
        <v>rg:[ { 'req' : 'id'} ]</v>
      </c>
      <c r="Y77" s="14" t="str">
        <f>IF(LEN(Table2[[#This Row],[!Unique]])&gt;0,IF(Table2[[#This Row],[!Type]] = "id", "rg:None","rg:True"),"rg:None")</f>
        <v>rg:None</v>
      </c>
    </row>
    <row r="78" spans="1:25" s="4" customFormat="1" x14ac:dyDescent="0.35">
      <c r="A78" s="20" t="s">
        <v>118</v>
      </c>
      <c r="B78" s="3" t="s">
        <v>7</v>
      </c>
      <c r="C78" s="3"/>
      <c r="D78" s="3" t="s">
        <v>25</v>
      </c>
      <c r="E78" s="30" t="s">
        <v>169</v>
      </c>
      <c r="F78" s="3" t="s">
        <v>5</v>
      </c>
      <c r="G78" s="32"/>
      <c r="I78" s="5" t="str">
        <f t="shared" si="4"/>
        <v>Defs</v>
      </c>
      <c r="J78" t="str">
        <f>IF(Table2[[#This Row],[!Type]]=J$1, J$1,"rg:None")</f>
        <v>rg:None</v>
      </c>
      <c r="K78" t="str">
        <f>IF(Table2[[#This Row],[!Type]]=K$1, K$1,"rg:None")</f>
        <v>rg:None</v>
      </c>
      <c r="L78" t="str">
        <f>IF(Table2[[#This Row],[!Type]]=L$1, L$1,"rg:None")</f>
        <v>rg:None</v>
      </c>
      <c r="M78" t="str">
        <f>IF(Table2[[#This Row],[!Type]]=M$1, M$1,"rg:None")</f>
        <v>rg:None</v>
      </c>
      <c r="N78" s="9" t="str">
        <f>IF(Table2[[#This Row],[!Type]]=N$1, N$1,"rg:None")</f>
        <v>rg:None</v>
      </c>
      <c r="O78" s="9"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9" t="str">
        <f>IF(LEN(Table2[[#This Row],[!Length]]) &gt; 0, Table2[[#This Row],[!Length]], "rg:None")</f>
        <v>rg:None</v>
      </c>
      <c r="U78" s="9" t="str">
        <f>IF(LEN(Table2[[#This Row],[!Name]]) &gt; 0, Table2[[#This Row],[!Name]], "rg:None")</f>
        <v>role</v>
      </c>
      <c r="V78" s="9" t="str">
        <f>IF(LEN(Table2[[#This Row],[!Description]]) &gt; 0, Table2[[#This Row],[!Description]], "rg:None")</f>
        <v>The role of the contact. UI controlled as to whether it is free form or selected from an enumerated list - for initial implementation, the field is freeform.</v>
      </c>
      <c r="W78" s="9" t="str">
        <f>IF(LEN(Table2[[#This Row],[!FK]])&gt;0,Table2[[#This Row],[!FK]],"rg:None")</f>
        <v>rg:None</v>
      </c>
      <c r="X78" s="9" t="str">
        <f>IF(LEN(concatif2(A:A,Table2[[#This Row],[!Table]],G:G,"Y",D:D,",")) &gt; 0,"rg:[ { 'req' : '"&amp;concatif2(A:A,Table2[[#This Row],[!Table]],G:G,"Y",D:D,"' }, { 'req': '")&amp;"'} ]","rg:[]")</f>
        <v>rg:[ { 'req' : 'id'} ]</v>
      </c>
      <c r="Y78" s="9" t="str">
        <f>IF(LEN(Table2[[#This Row],[!Unique]])&gt;0,IF(Table2[[#This Row],[!Type]] = "id", "rg:None","rg:True"),"rg:None")</f>
        <v>rg:None</v>
      </c>
    </row>
    <row r="79" spans="1:25" s="4" customFormat="1" x14ac:dyDescent="0.35">
      <c r="A79" s="20" t="s">
        <v>118</v>
      </c>
      <c r="B79" s="3" t="s">
        <v>7</v>
      </c>
      <c r="C79" s="3"/>
      <c r="D79" s="3" t="s">
        <v>26</v>
      </c>
      <c r="E79" s="24" t="s">
        <v>121</v>
      </c>
      <c r="F79" s="3" t="s">
        <v>5</v>
      </c>
      <c r="I79" s="5" t="str">
        <f t="shared" si="4"/>
        <v>Defs</v>
      </c>
      <c r="J79" t="str">
        <f>IF(Table2[[#This Row],[!Type]]=J$1, J$1,"rg:None")</f>
        <v>rg:None</v>
      </c>
      <c r="K79" t="str">
        <f>IF(Table2[[#This Row],[!Type]]=K$1, K$1,"rg:None")</f>
        <v>rg:None</v>
      </c>
      <c r="L79" t="str">
        <f>IF(Table2[[#This Row],[!Type]]=L$1, L$1,"rg:None")</f>
        <v>rg:None</v>
      </c>
      <c r="M79" t="str">
        <f>IF(Table2[[#This Row],[!Type]]=M$1, M$1,"rg:None")</f>
        <v>rg:None</v>
      </c>
      <c r="N79" s="9" t="str">
        <f>IF(Table2[[#This Row],[!Type]]=N$1, N$1,"rg:None")</f>
        <v>rg:None</v>
      </c>
      <c r="O79" s="9"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9" t="str">
        <f>IF(LEN(Table2[[#This Row],[!Length]]) &gt; 0, Table2[[#This Row],[!Length]], "rg:None")</f>
        <v>rg:None</v>
      </c>
      <c r="U79" s="9" t="str">
        <f>IF(LEN(Table2[[#This Row],[!Name]]) &gt; 0, Table2[[#This Row],[!Name]], "rg:None")</f>
        <v>notes</v>
      </c>
      <c r="V79" s="9" t="str">
        <f>IF(LEN(Table2[[#This Row],[!Description]]) &gt; 0, Table2[[#This Row],[!Description]], "rg:None")</f>
        <v>A note about the contact maintained by the users.</v>
      </c>
      <c r="W79" s="9" t="str">
        <f>IF(LEN(Table2[[#This Row],[!FK]])&gt;0,Table2[[#This Row],[!FK]],"rg:None")</f>
        <v>rg:None</v>
      </c>
      <c r="X79" s="9" t="str">
        <f>IF(LEN(concatif2(A:A,Table2[[#This Row],[!Table]],G:G,"Y",D:D,",")) &gt; 0,"rg:[ { 'req' : '"&amp;concatif2(A:A,Table2[[#This Row],[!Table]],G:G,"Y",D:D,"' }, { 'req': '")&amp;"'} ]","rg:[]")</f>
        <v>rg:[ { 'req' : 'id'} ]</v>
      </c>
      <c r="Y79" s="9" t="str">
        <f>IF(LEN(Table2[[#This Row],[!Unique]])&gt;0,IF(Table2[[#This Row],[!Type]] = "id", "rg:None","rg:True"),"rg:None")</f>
        <v>rg:None</v>
      </c>
    </row>
    <row r="80" spans="1:25" s="4" customFormat="1" x14ac:dyDescent="0.35">
      <c r="A80" s="40" t="s">
        <v>118</v>
      </c>
      <c r="B80" s="40" t="s">
        <v>7</v>
      </c>
      <c r="C80" s="3"/>
      <c r="D80" s="40" t="s">
        <v>178</v>
      </c>
      <c r="E80" s="40" t="s">
        <v>179</v>
      </c>
      <c r="F80" s="6"/>
      <c r="G80" s="16"/>
      <c r="H80" s="16"/>
      <c r="I80" s="4" t="str">
        <f>IF(LEN(A80) &gt; 0,"Defs","-")</f>
        <v>Defs</v>
      </c>
      <c r="J80" s="14" t="str">
        <f>IF(Table2[[#This Row],[!Type]]=J$1, J$1,"rg:None")</f>
        <v>rg:None</v>
      </c>
      <c r="K80" s="27" t="str">
        <f>IF(Table2[[#This Row],[!Type]]=K$1, K$1,"rg:None")</f>
        <v>rg:None</v>
      </c>
      <c r="L80" s="14" t="str">
        <f>IF(Table2[[#This Row],[!Type]]=L$1, L$1,"rg:None")</f>
        <v>rg:None</v>
      </c>
      <c r="M80" s="14" t="str">
        <f>IF(Table2[[#This Row],[!Type]]=M$1, M$1,"rg:None")</f>
        <v>rg:None</v>
      </c>
      <c r="N80" s="14" t="str">
        <f>IF(Table2[[#This Row],[!Type]]=N$1, N$1,"rg:None")</f>
        <v>rg:None</v>
      </c>
      <c r="O80" s="1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14" t="str">
        <f>IF(LEN(Table2[[#This Row],[!Length]]) &gt; 0, Table2[[#This Row],[!Length]], "rg:None")</f>
        <v>rg:None</v>
      </c>
      <c r="U80" s="14" t="str">
        <f>IF(LEN(Table2[[#This Row],[!Name]]) &gt; 0, Table2[[#This Row],[!Name]], "rg:None")</f>
        <v>emailAddress</v>
      </c>
      <c r="V80" s="14" t="str">
        <f>IF(LEN(Table2[[#This Row],[!Description]]) &gt; 0, Table2[[#This Row],[!Description]], "rg:None")</f>
        <v>The email address for the contact.</v>
      </c>
      <c r="W80" s="14" t="str">
        <f>IF(LEN(Table2[[#This Row],[!FK]])&gt;0,Table2[[#This Row],[!FK]],"rg:None")</f>
        <v>rg:None</v>
      </c>
      <c r="X80" s="14" t="str">
        <f>IF(LEN(concatif2(A:A,Table2[[#This Row],[!Table]],G:G,"Y",D:D,",")) &gt; 0,"rg:[ { 'req' : '"&amp;concatif2(A:A,Table2[[#This Row],[!Table]],G:G,"Y",D:D,"' }, { 'req': '")&amp;"'} ]","rg:[]")</f>
        <v>rg:[ { 'req' : 'id'} ]</v>
      </c>
      <c r="Y80" s="14" t="str">
        <f>IF(LEN(Table2[[#This Row],[!Unique]])&gt;0,IF(Table2[[#This Row],[!Type]] = "id", "rg:None","rg:True"),"rg:None")</f>
        <v>rg:None</v>
      </c>
    </row>
    <row r="81" spans="1:25" s="4" customFormat="1" x14ac:dyDescent="0.35">
      <c r="A81" s="20" t="s">
        <v>118</v>
      </c>
      <c r="B81" s="3" t="s">
        <v>7</v>
      </c>
      <c r="C81" s="3"/>
      <c r="D81" s="39" t="s">
        <v>175</v>
      </c>
      <c r="E81" s="41" t="s">
        <v>180</v>
      </c>
      <c r="F81" s="3" t="s">
        <v>5</v>
      </c>
      <c r="G81" s="32"/>
      <c r="I81" s="5" t="str">
        <f t="shared" si="4"/>
        <v>Defs</v>
      </c>
      <c r="J81" t="str">
        <f>IF(Table2[[#This Row],[!Type]]=J$1, J$1,"rg:None")</f>
        <v>rg:None</v>
      </c>
      <c r="K81" t="str">
        <f>IF(Table2[[#This Row],[!Type]]=K$1, K$1,"rg:None")</f>
        <v>rg:None</v>
      </c>
      <c r="L81" t="str">
        <f>IF(Table2[[#This Row],[!Type]]=L$1, L$1,"rg:None")</f>
        <v>rg:None</v>
      </c>
      <c r="M81" t="str">
        <f>IF(Table2[[#This Row],[!Type]]=M$1, M$1,"rg:None")</f>
        <v>rg:None</v>
      </c>
      <c r="N81" s="9" t="str">
        <f>IF(Table2[[#This Row],[!Type]]=N$1, N$1,"rg:None")</f>
        <v>rg:None</v>
      </c>
      <c r="O81" s="9"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9" t="str">
        <f>IF(LEN(Table2[[#This Row],[!Length]]) &gt; 0, Table2[[#This Row],[!Length]], "rg:None")</f>
        <v>rg:None</v>
      </c>
      <c r="U81" s="9" t="str">
        <f>IF(LEN(Table2[[#This Row],[!Name]]) &gt; 0, Table2[[#This Row],[!Name]], "rg:None")</f>
        <v>workPhoneNumber</v>
      </c>
      <c r="V81" s="9" t="str">
        <f>IF(LEN(Table2[[#This Row],[!Description]]) &gt; 0, Table2[[#This Row],[!Description]], "rg:None")</f>
        <v>The work phone number for the contact.</v>
      </c>
      <c r="W81" s="9" t="str">
        <f>IF(LEN(Table2[[#This Row],[!FK]])&gt;0,Table2[[#This Row],[!FK]],"rg:None")</f>
        <v>rg:None</v>
      </c>
      <c r="X81" s="9" t="str">
        <f>IF(LEN(concatif2(A:A,Table2[[#This Row],[!Table]],G:G,"Y",D:D,",")) &gt; 0,"rg:[ { 'req' : '"&amp;concatif2(A:A,Table2[[#This Row],[!Table]],G:G,"Y",D:D,"' }, { 'req': '")&amp;"'} ]","rg:[]")</f>
        <v>rg:[ { 'req' : 'id'} ]</v>
      </c>
      <c r="Y81" s="9" t="str">
        <f>IF(LEN(Table2[[#This Row],[!Unique]])&gt;0,IF(Table2[[#This Row],[!Type]] = "id", "rg:None","rg:True"),"rg:None")</f>
        <v>rg:None</v>
      </c>
    </row>
    <row r="82" spans="1:25" s="4" customFormat="1" x14ac:dyDescent="0.35">
      <c r="A82" s="20" t="s">
        <v>118</v>
      </c>
      <c r="B82" s="3" t="s">
        <v>7</v>
      </c>
      <c r="C82" s="3"/>
      <c r="D82" s="39" t="s">
        <v>176</v>
      </c>
      <c r="E82" s="41" t="s">
        <v>181</v>
      </c>
      <c r="F82" s="3" t="s">
        <v>5</v>
      </c>
      <c r="G82" s="32"/>
      <c r="I82" s="5" t="str">
        <f t="shared" si="4"/>
        <v>Defs</v>
      </c>
      <c r="J82" t="str">
        <f>IF(Table2[[#This Row],[!Type]]=J$1, J$1,"rg:None")</f>
        <v>rg:None</v>
      </c>
      <c r="K82" t="str">
        <f>IF(Table2[[#This Row],[!Type]]=K$1, K$1,"rg:None")</f>
        <v>rg:None</v>
      </c>
      <c r="L82" t="str">
        <f>IF(Table2[[#This Row],[!Type]]=L$1, L$1,"rg:None")</f>
        <v>rg:None</v>
      </c>
      <c r="M82" t="str">
        <f>IF(Table2[[#This Row],[!Type]]=M$1, M$1,"rg:None")</f>
        <v>rg:None</v>
      </c>
      <c r="N82" s="9" t="str">
        <f>IF(Table2[[#This Row],[!Type]]=N$1, N$1,"rg:None")</f>
        <v>rg:None</v>
      </c>
      <c r="O82" s="9"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9" t="str">
        <f>IF(LEN(Table2[[#This Row],[!Length]]) &gt; 0, Table2[[#This Row],[!Length]], "rg:None")</f>
        <v>rg:None</v>
      </c>
      <c r="U82" s="9" t="str">
        <f>IF(LEN(Table2[[#This Row],[!Name]]) &gt; 0, Table2[[#This Row],[!Name]], "rg:None")</f>
        <v>mobilePhoneNumber</v>
      </c>
      <c r="V82" s="9" t="str">
        <f>IF(LEN(Table2[[#This Row],[!Description]]) &gt; 0, Table2[[#This Row],[!Description]], "rg:None")</f>
        <v>The mobile phone number for the contact.</v>
      </c>
      <c r="W82" s="9" t="str">
        <f>IF(LEN(Table2[[#This Row],[!FK]])&gt;0,Table2[[#This Row],[!FK]],"rg:None")</f>
        <v>rg:None</v>
      </c>
      <c r="X82" s="9" t="str">
        <f>IF(LEN(concatif2(A:A,Table2[[#This Row],[!Table]],G:G,"Y",D:D,",")) &gt; 0,"rg:[ { 'req' : '"&amp;concatif2(A:A,Table2[[#This Row],[!Table]],G:G,"Y",D:D,"' }, { 'req': '")&amp;"'} ]","rg:[]")</f>
        <v>rg:[ { 'req' : 'id'} ]</v>
      </c>
      <c r="Y82" s="9" t="str">
        <f>IF(LEN(Table2[[#This Row],[!Unique]])&gt;0,IF(Table2[[#This Row],[!Type]] = "id", "rg:None","rg:True"),"rg:None")</f>
        <v>rg:None</v>
      </c>
    </row>
    <row r="83" spans="1:25" s="4" customFormat="1" x14ac:dyDescent="0.35">
      <c r="A83" s="39" t="s">
        <v>118</v>
      </c>
      <c r="B83" s="39" t="s">
        <v>7</v>
      </c>
      <c r="C83" s="3"/>
      <c r="D83" s="39" t="s">
        <v>177</v>
      </c>
      <c r="E83" s="41" t="s">
        <v>182</v>
      </c>
      <c r="F83" s="3" t="s">
        <v>5</v>
      </c>
      <c r="I83" s="5" t="str">
        <f t="shared" si="4"/>
        <v>Defs</v>
      </c>
      <c r="J83" t="str">
        <f>IF(Table2[[#This Row],[!Type]]=J$1, J$1,"rg:None")</f>
        <v>rg:None</v>
      </c>
      <c r="K83" t="str">
        <f>IF(Table2[[#This Row],[!Type]]=K$1, K$1,"rg:None")</f>
        <v>rg:None</v>
      </c>
      <c r="L83" t="str">
        <f>IF(Table2[[#This Row],[!Type]]=L$1, L$1,"rg:None")</f>
        <v>rg:None</v>
      </c>
      <c r="M83" t="str">
        <f>IF(Table2[[#This Row],[!Type]]=M$1, M$1,"rg:None")</f>
        <v>rg:None</v>
      </c>
      <c r="N83" s="9" t="str">
        <f>IF(Table2[[#This Row],[!Type]]=N$1, N$1,"rg:None")</f>
        <v>rg:None</v>
      </c>
      <c r="O83" s="9" t="str">
        <f>IF(Table2[[#This Row],[!Type]]=O$1, O$1,"rg:None")</f>
        <v>rg:None</v>
      </c>
      <c r="P83" s="5" t="str">
        <f>IF(Table2[[#This Row],[!Type]]=P$1, P$1,"rg:None")</f>
        <v>rg:None</v>
      </c>
      <c r="Q83" s="5" t="str">
        <f>IF(Table2[[#This Row],[!Type]]=Q$1, Q$1,"rg:None")</f>
        <v>rg:None</v>
      </c>
      <c r="R83" s="5" t="str">
        <f>IF(Table2[[#This Row],[!Type]]=R$1, R$1,"rg:None")</f>
        <v>string</v>
      </c>
      <c r="S83" s="5" t="str">
        <f>IF(Table2[[#This Row],[!Type]]=S$1, S$1,"rg:None")</f>
        <v>rg:None</v>
      </c>
      <c r="T83" s="9" t="str">
        <f>IF(LEN(Table2[[#This Row],[!Length]]) &gt; 0, Table2[[#This Row],[!Length]], "rg:None")</f>
        <v>rg:None</v>
      </c>
      <c r="U83" s="9" t="str">
        <f>IF(LEN(Table2[[#This Row],[!Name]]) &gt; 0, Table2[[#This Row],[!Name]], "rg:None")</f>
        <v>faxPhoneNumber</v>
      </c>
      <c r="V83" s="9" t="str">
        <f>IF(LEN(Table2[[#This Row],[!Description]]) &gt; 0, Table2[[#This Row],[!Description]], "rg:None")</f>
        <v>The fax phone number for the contact.</v>
      </c>
      <c r="W83" s="9" t="str">
        <f>IF(LEN(Table2[[#This Row],[!FK]])&gt;0,Table2[[#This Row],[!FK]],"rg:None")</f>
        <v>rg:None</v>
      </c>
      <c r="X83" s="9" t="str">
        <f>IF(LEN(concatif2(A:A,Table2[[#This Row],[!Table]],G:G,"Y",D:D,",")) &gt; 0,"rg:[ { 'req' : '"&amp;concatif2(A:A,Table2[[#This Row],[!Table]],G:G,"Y",D:D,"' }, { 'req': '")&amp;"'} ]","rg:[]")</f>
        <v>rg:[ { 'req' : 'id'} ]</v>
      </c>
      <c r="Y83" s="9" t="str">
        <f>IF(LEN(Table2[[#This Row],[!Unique]])&gt;0,IF(Table2[[#This Row],[!Type]] = "id", "rg:None","rg:True"),"rg:None")</f>
        <v>rg:None</v>
      </c>
    </row>
    <row r="84" spans="1:25" s="4" customFormat="1" x14ac:dyDescent="0.35">
      <c r="A84" s="39" t="s">
        <v>118</v>
      </c>
      <c r="B84" s="3" t="s">
        <v>7</v>
      </c>
      <c r="C84" s="3"/>
      <c r="D84" s="39" t="s">
        <v>122</v>
      </c>
      <c r="E84" s="41" t="s">
        <v>29</v>
      </c>
      <c r="F84" s="3" t="s">
        <v>5</v>
      </c>
      <c r="I84" s="5" t="str">
        <f t="shared" si="4"/>
        <v>Defs</v>
      </c>
      <c r="J84" t="str">
        <f>IF(Table2[[#This Row],[!Type]]=J$1, J$1,"rg:None")</f>
        <v>rg:None</v>
      </c>
      <c r="K84" t="str">
        <f>IF(Table2[[#This Row],[!Type]]=K$1, K$1,"rg:None")</f>
        <v>rg:None</v>
      </c>
      <c r="L84" t="str">
        <f>IF(Table2[[#This Row],[!Type]]=L$1, L$1,"rg:None")</f>
        <v>rg:None</v>
      </c>
      <c r="M84" t="str">
        <f>IF(Table2[[#This Row],[!Type]]=M$1, M$1,"rg:None")</f>
        <v>rg:None</v>
      </c>
      <c r="N84" s="9" t="str">
        <f>IF(Table2[[#This Row],[!Type]]=N$1, N$1,"rg:None")</f>
        <v>rg:None</v>
      </c>
      <c r="O84" s="9" t="str">
        <f>IF(Table2[[#This Row],[!Type]]=O$1, O$1,"rg:None")</f>
        <v>rg:None</v>
      </c>
      <c r="P84" s="5" t="str">
        <f>IF(Table2[[#This Row],[!Type]]=P$1, P$1,"rg:None")</f>
        <v>rg:None</v>
      </c>
      <c r="Q84" s="5" t="str">
        <f>IF(Table2[[#This Row],[!Type]]=Q$1, Q$1,"rg:None")</f>
        <v>rg:None</v>
      </c>
      <c r="R84" s="5" t="str">
        <f>IF(Table2[[#This Row],[!Type]]=R$1, R$1,"rg:None")</f>
        <v>string</v>
      </c>
      <c r="S84" s="5" t="str">
        <f>IF(Table2[[#This Row],[!Type]]=S$1, S$1,"rg:None")</f>
        <v>rg:None</v>
      </c>
      <c r="T84" s="9" t="str">
        <f>IF(LEN(Table2[[#This Row],[!Length]]) &gt; 0, Table2[[#This Row],[!Length]], "rg:None")</f>
        <v>rg:None</v>
      </c>
      <c r="U84" s="9" t="str">
        <f>IF(LEN(Table2[[#This Row],[!Name]]) &gt; 0, Table2[[#This Row],[!Name]], "rg:None")</f>
        <v>address1</v>
      </c>
      <c r="V84" s="9" t="str">
        <f>IF(LEN(Table2[[#This Row],[!Description]]) &gt; 0, Table2[[#This Row],[!Description]], "rg:None")</f>
        <v>Address 1 line of the address.</v>
      </c>
      <c r="W84" s="9" t="str">
        <f>IF(LEN(Table2[[#This Row],[!FK]])&gt;0,Table2[[#This Row],[!FK]],"rg:None")</f>
        <v>rg:None</v>
      </c>
      <c r="X84" s="9" t="str">
        <f>IF(LEN(concatif2(A:A,Table2[[#This Row],[!Table]],G:G,"Y",D:D,",")) &gt; 0,"rg:[ { 'req' : '"&amp;concatif2(A:A,Table2[[#This Row],[!Table]],G:G,"Y",D:D,"' }, { 'req': '")&amp;"'} ]","rg:[]")</f>
        <v>rg:[ { 'req' : 'id'} ]</v>
      </c>
      <c r="Y84" s="9" t="str">
        <f>IF(LEN(Table2[[#This Row],[!Unique]])&gt;0,IF(Table2[[#This Row],[!Type]] = "id", "rg:None","rg:True"),"rg:None")</f>
        <v>rg:None</v>
      </c>
    </row>
    <row r="85" spans="1:25" s="4" customFormat="1" x14ac:dyDescent="0.35">
      <c r="A85" s="39" t="s">
        <v>118</v>
      </c>
      <c r="B85" s="3" t="s">
        <v>7</v>
      </c>
      <c r="C85" s="3"/>
      <c r="D85" s="39" t="s">
        <v>123</v>
      </c>
      <c r="E85" s="23" t="s">
        <v>30</v>
      </c>
      <c r="F85" s="3" t="s">
        <v>5</v>
      </c>
      <c r="I85" s="5" t="str">
        <f t="shared" si="4"/>
        <v>Defs</v>
      </c>
      <c r="J85" t="str">
        <f>IF(Table2[[#This Row],[!Type]]=J$1, J$1,"rg:None")</f>
        <v>rg:None</v>
      </c>
      <c r="K85" t="str">
        <f>IF(Table2[[#This Row],[!Type]]=K$1, K$1,"rg:None")</f>
        <v>rg:None</v>
      </c>
      <c r="L85" t="str">
        <f>IF(Table2[[#This Row],[!Type]]=L$1, L$1,"rg:None")</f>
        <v>rg:None</v>
      </c>
      <c r="M85" t="str">
        <f>IF(Table2[[#This Row],[!Type]]=M$1, M$1,"rg:None")</f>
        <v>rg:None</v>
      </c>
      <c r="N85" s="9" t="str">
        <f>IF(Table2[[#This Row],[!Type]]=N$1, N$1,"rg:None")</f>
        <v>rg:None</v>
      </c>
      <c r="O85" s="9" t="str">
        <f>IF(Table2[[#This Row],[!Type]]=O$1, O$1,"rg:None")</f>
        <v>rg:None</v>
      </c>
      <c r="P85" s="5" t="str">
        <f>IF(Table2[[#This Row],[!Type]]=P$1, P$1,"rg:None")</f>
        <v>rg:None</v>
      </c>
      <c r="Q85" s="5" t="str">
        <f>IF(Table2[[#This Row],[!Type]]=Q$1, Q$1,"rg:None")</f>
        <v>rg:None</v>
      </c>
      <c r="R85" s="5" t="str">
        <f>IF(Table2[[#This Row],[!Type]]=R$1, R$1,"rg:None")</f>
        <v>string</v>
      </c>
      <c r="S85" s="5" t="str">
        <f>IF(Table2[[#This Row],[!Type]]=S$1, S$1,"rg:None")</f>
        <v>rg:None</v>
      </c>
      <c r="T85" s="9" t="str">
        <f>IF(LEN(Table2[[#This Row],[!Length]]) &gt; 0, Table2[[#This Row],[!Length]], "rg:None")</f>
        <v>rg:None</v>
      </c>
      <c r="U85" s="9" t="str">
        <f>IF(LEN(Table2[[#This Row],[!Name]]) &gt; 0, Table2[[#This Row],[!Name]], "rg:None")</f>
        <v>address2</v>
      </c>
      <c r="V85" s="9" t="str">
        <f>IF(LEN(Table2[[#This Row],[!Description]]) &gt; 0, Table2[[#This Row],[!Description]], "rg:None")</f>
        <v>Address 2 line of the address.</v>
      </c>
      <c r="W85" s="9" t="str">
        <f>IF(LEN(Table2[[#This Row],[!FK]])&gt;0,Table2[[#This Row],[!FK]],"rg:None")</f>
        <v>rg:None</v>
      </c>
      <c r="X85" s="9" t="str">
        <f>IF(LEN(concatif2(A:A,Table2[[#This Row],[!Table]],G:G,"Y",D:D,",")) &gt; 0,"rg:[ { 'req' : '"&amp;concatif2(A:A,Table2[[#This Row],[!Table]],G:G,"Y",D:D,"' }, { 'req': '")&amp;"'} ]","rg:[]")</f>
        <v>rg:[ { 'req' : 'id'} ]</v>
      </c>
      <c r="Y85" s="9" t="str">
        <f>IF(LEN(Table2[[#This Row],[!Unique]])&gt;0,IF(Table2[[#This Row],[!Type]] = "id", "rg:None","rg:True"),"rg:None")</f>
        <v>rg:None</v>
      </c>
    </row>
    <row r="86" spans="1:25" s="4" customFormat="1" x14ac:dyDescent="0.35">
      <c r="A86" s="39" t="s">
        <v>118</v>
      </c>
      <c r="B86" s="3" t="s">
        <v>7</v>
      </c>
      <c r="C86" s="3"/>
      <c r="D86" s="39" t="s">
        <v>31</v>
      </c>
      <c r="E86" s="23" t="s">
        <v>32</v>
      </c>
      <c r="F86" s="3" t="s">
        <v>5</v>
      </c>
      <c r="I86" s="5" t="str">
        <f t="shared" si="4"/>
        <v>Defs</v>
      </c>
      <c r="J86" t="str">
        <f>IF(Table2[[#This Row],[!Type]]=J$1, J$1,"rg:None")</f>
        <v>rg:None</v>
      </c>
      <c r="K86" t="str">
        <f>IF(Table2[[#This Row],[!Type]]=K$1, K$1,"rg:None")</f>
        <v>rg:None</v>
      </c>
      <c r="L86" t="str">
        <f>IF(Table2[[#This Row],[!Type]]=L$1, L$1,"rg:None")</f>
        <v>rg:None</v>
      </c>
      <c r="M86" t="str">
        <f>IF(Table2[[#This Row],[!Type]]=M$1, M$1,"rg:None")</f>
        <v>rg:None</v>
      </c>
      <c r="N86" s="9" t="str">
        <f>IF(Table2[[#This Row],[!Type]]=N$1, N$1,"rg:None")</f>
        <v>rg:None</v>
      </c>
      <c r="O86" s="9"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9" t="str">
        <f>IF(LEN(Table2[[#This Row],[!Length]]) &gt; 0, Table2[[#This Row],[!Length]], "rg:None")</f>
        <v>rg:None</v>
      </c>
      <c r="U86" s="9" t="str">
        <f>IF(LEN(Table2[[#This Row],[!Name]]) &gt; 0, Table2[[#This Row],[!Name]], "rg:None")</f>
        <v>city</v>
      </c>
      <c r="V86" s="9" t="str">
        <f>IF(LEN(Table2[[#This Row],[!Description]]) &gt; 0, Table2[[#This Row],[!Description]], "rg:None")</f>
        <v>The City of the address.</v>
      </c>
      <c r="W86" s="9" t="str">
        <f>IF(LEN(Table2[[#This Row],[!FK]])&gt;0,Table2[[#This Row],[!FK]],"rg:None")</f>
        <v>rg:None</v>
      </c>
      <c r="X86" s="9" t="str">
        <f>IF(LEN(concatif2(A:A,Table2[[#This Row],[!Table]],G:G,"Y",D:D,",")) &gt; 0,"rg:[ { 'req' : '"&amp;concatif2(A:A,Table2[[#This Row],[!Table]],G:G,"Y",D:D,"' }, { 'req': '")&amp;"'} ]","rg:[]")</f>
        <v>rg:[ { 'req' : 'id'} ]</v>
      </c>
      <c r="Y86" s="9" t="str">
        <f>IF(LEN(Table2[[#This Row],[!Unique]])&gt;0,IF(Table2[[#This Row],[!Type]] = "id", "rg:None","rg:True"),"rg:None")</f>
        <v>rg:None</v>
      </c>
    </row>
    <row r="87" spans="1:25" s="4" customFormat="1" x14ac:dyDescent="0.35">
      <c r="A87" s="39" t="s">
        <v>118</v>
      </c>
      <c r="B87" s="3" t="s">
        <v>7</v>
      </c>
      <c r="C87" s="3"/>
      <c r="D87" s="39" t="s">
        <v>33</v>
      </c>
      <c r="E87" s="23" t="s">
        <v>34</v>
      </c>
      <c r="F87" s="3" t="s">
        <v>5</v>
      </c>
      <c r="I87" s="5" t="str">
        <f t="shared" si="4"/>
        <v>Defs</v>
      </c>
      <c r="J87" t="str">
        <f>IF(Table2[[#This Row],[!Type]]=J$1, J$1,"rg:None")</f>
        <v>rg:None</v>
      </c>
      <c r="K87" t="str">
        <f>IF(Table2[[#This Row],[!Type]]=K$1, K$1,"rg:None")</f>
        <v>rg:None</v>
      </c>
      <c r="L87" t="str">
        <f>IF(Table2[[#This Row],[!Type]]=L$1, L$1,"rg:None")</f>
        <v>rg:None</v>
      </c>
      <c r="M87" t="str">
        <f>IF(Table2[[#This Row],[!Type]]=M$1, M$1,"rg:None")</f>
        <v>rg:None</v>
      </c>
      <c r="N87" s="9" t="str">
        <f>IF(Table2[[#This Row],[!Type]]=N$1, N$1,"rg:None")</f>
        <v>rg:None</v>
      </c>
      <c r="O87" s="9"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9" t="str">
        <f>IF(LEN(Table2[[#This Row],[!Length]]) &gt; 0, Table2[[#This Row],[!Length]], "rg:None")</f>
        <v>rg:None</v>
      </c>
      <c r="U87" s="9" t="str">
        <f>IF(LEN(Table2[[#This Row],[!Name]]) &gt; 0, Table2[[#This Row],[!Name]], "rg:None")</f>
        <v>province</v>
      </c>
      <c r="V87" s="9" t="str">
        <f>IF(LEN(Table2[[#This Row],[!Description]]) &gt; 0, Table2[[#This Row],[!Description]], "rg:None")</f>
        <v>The Province of the address.</v>
      </c>
      <c r="W87" s="9" t="str">
        <f>IF(LEN(Table2[[#This Row],[!FK]])&gt;0,Table2[[#This Row],[!FK]],"rg:None")</f>
        <v>rg:None</v>
      </c>
      <c r="X87" s="9" t="str">
        <f>IF(LEN(concatif2(A:A,Table2[[#This Row],[!Table]],G:G,"Y",D:D,",")) &gt; 0,"rg:[ { 'req' : '"&amp;concatif2(A:A,Table2[[#This Row],[!Table]],G:G,"Y",D:D,"' }, { 'req': '")&amp;"'} ]","rg:[]")</f>
        <v>rg:[ { 'req' : 'id'} ]</v>
      </c>
      <c r="Y87" s="9" t="str">
        <f>IF(LEN(Table2[[#This Row],[!Unique]])&gt;0,IF(Table2[[#This Row],[!Type]] = "id", "rg:None","rg:True"),"rg:None")</f>
        <v>rg:None</v>
      </c>
    </row>
    <row r="88" spans="1:25" s="4" customFormat="1" x14ac:dyDescent="0.35">
      <c r="A88" s="39" t="s">
        <v>118</v>
      </c>
      <c r="B88" s="3" t="s">
        <v>7</v>
      </c>
      <c r="C88" s="3"/>
      <c r="D88" s="39" t="s">
        <v>35</v>
      </c>
      <c r="E88" s="23" t="s">
        <v>36</v>
      </c>
      <c r="F88" s="3" t="s">
        <v>5</v>
      </c>
      <c r="I88" s="5" t="str">
        <f t="shared" si="4"/>
        <v>Defs</v>
      </c>
      <c r="J88" t="str">
        <f>IF(Table2[[#This Row],[!Type]]=J$1, J$1,"rg:None")</f>
        <v>rg:None</v>
      </c>
      <c r="K88" t="str">
        <f>IF(Table2[[#This Row],[!Type]]=K$1, K$1,"rg:None")</f>
        <v>rg:None</v>
      </c>
      <c r="L88" t="str">
        <f>IF(Table2[[#This Row],[!Type]]=L$1, L$1,"rg:None")</f>
        <v>rg:None</v>
      </c>
      <c r="M88" t="str">
        <f>IF(Table2[[#This Row],[!Type]]=M$1, M$1,"rg:None")</f>
        <v>rg:None</v>
      </c>
      <c r="N88" s="9" t="str">
        <f>IF(Table2[[#This Row],[!Type]]=N$1, N$1,"rg:None")</f>
        <v>rg:None</v>
      </c>
      <c r="O88" s="9"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9" t="str">
        <f>IF(LEN(Table2[[#This Row],[!Length]]) &gt; 0, Table2[[#This Row],[!Length]], "rg:None")</f>
        <v>rg:None</v>
      </c>
      <c r="U88" s="9" t="str">
        <f>IF(LEN(Table2[[#This Row],[!Name]]) &gt; 0, Table2[[#This Row],[!Name]], "rg:None")</f>
        <v>postalCode</v>
      </c>
      <c r="V88" s="9" t="str">
        <f>IF(LEN(Table2[[#This Row],[!Description]]) &gt; 0, Table2[[#This Row],[!Description]], "rg:None")</f>
        <v>The postal code of the address.</v>
      </c>
      <c r="W88" s="9" t="str">
        <f>IF(LEN(Table2[[#This Row],[!FK]])&gt;0,Table2[[#This Row],[!FK]],"rg:None")</f>
        <v>rg:None</v>
      </c>
      <c r="X88" s="9" t="str">
        <f>IF(LEN(concatif2(A:A,Table2[[#This Row],[!Table]],G:G,"Y",D:D,",")) &gt; 0,"rg:[ { 'req' : '"&amp;concatif2(A:A,Table2[[#This Row],[!Table]],G:G,"Y",D:D,"' }, { 'req': '")&amp;"'} ]","rg:[]")</f>
        <v>rg:[ { 'req' : 'id'} ]</v>
      </c>
      <c r="Y88" s="9" t="str">
        <f>IF(LEN(Table2[[#This Row],[!Unique]])&gt;0,IF(Table2[[#This Row],[!Type]] = "id", "rg:None","rg:True"),"rg:None")</f>
        <v>rg:None</v>
      </c>
    </row>
    <row r="89" spans="1:25" s="4" customFormat="1" x14ac:dyDescent="0.35">
      <c r="A89" s="3" t="s">
        <v>37</v>
      </c>
      <c r="B89" s="3" t="s">
        <v>4</v>
      </c>
      <c r="C89" s="3"/>
      <c r="D89" s="3" t="s">
        <v>37</v>
      </c>
      <c r="E89" s="23" t="s">
        <v>70</v>
      </c>
      <c r="F89" s="3" t="s">
        <v>5</v>
      </c>
      <c r="I89" s="5" t="str">
        <f t="shared" si="3"/>
        <v>Defs</v>
      </c>
      <c r="J89" t="str">
        <f>IF(Table2[[#This Row],[!Type]]=J$1, J$1,"rg:None")</f>
        <v>rg:None</v>
      </c>
      <c r="K89" t="str">
        <f>IF(Table2[[#This Row],[!Type]]=K$1, K$1,"rg:None")</f>
        <v>rg:None</v>
      </c>
      <c r="L89" t="str">
        <f>IF(Table2[[#This Row],[!Type]]=L$1, L$1,"rg:None")</f>
        <v>rg:None</v>
      </c>
      <c r="M89" t="str">
        <f>IF(Table2[[#This Row],[!Type]]=M$1, M$1,"rg:None")</f>
        <v>rg:None</v>
      </c>
      <c r="N89" s="9" t="str">
        <f>IF(Table2[[#This Row],[!Type]]=N$1, N$1,"rg:None")</f>
        <v>rg:None</v>
      </c>
      <c r="O89" s="9"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9" t="str">
        <f>IF(LEN(Table2[[#This Row],[!Length]]) &gt; 0, Table2[[#This Row],[!Length]], "rg:None")</f>
        <v>rg:None</v>
      </c>
      <c r="U89" s="9" t="str">
        <f>IF(LEN(Table2[[#This Row],[!Name]]) &gt; 0, Table2[[#This Row],[!Name]], "rg:None")</f>
        <v>UserFavourite</v>
      </c>
      <c r="V89" s="9" t="str">
        <f>IF(LEN(Table2[[#This Row],[!Description]]) &gt; 0, Table2[[#This Row],[!Description]], "rg:None")</f>
        <v>User specific settings for a specific location in the UI. The location and saved settings are internally defined by the UI.</v>
      </c>
      <c r="W89" s="9" t="str">
        <f>IF(LEN(Table2[[#This Row],[!FK]])&gt;0,Table2[[#This Row],[!FK]],"rg:None")</f>
        <v>rg:None</v>
      </c>
      <c r="X89" s="9" t="str">
        <f>IF(LEN(concatif2(A:A,Table2[[#This Row],[!Table]],G:G,"Y",D:D,",")) &gt; 0,"rg:[ { 'req' : '"&amp;concatif2(A:A,Table2[[#This Row],[!Table]],G:G,"Y",D:D,"' }, { 'req': '")&amp;"'} ]","rg:[]")</f>
        <v>rg:[ { 'req' : 'id'} ]</v>
      </c>
      <c r="Y89" s="9" t="str">
        <f>IF(LEN(Table2[[#This Row],[!Unique]])&gt;0,IF(Table2[[#This Row],[!Type]] = "id", "rg:None","rg:True"),"rg:None")</f>
        <v>rg:None</v>
      </c>
    </row>
    <row r="90" spans="1:25" s="4" customFormat="1" x14ac:dyDescent="0.35">
      <c r="A90" s="3" t="s">
        <v>37</v>
      </c>
      <c r="B90" s="3" t="s">
        <v>6</v>
      </c>
      <c r="C90" s="3"/>
      <c r="D90" s="3" t="s">
        <v>6</v>
      </c>
      <c r="E90" s="23" t="s">
        <v>132</v>
      </c>
      <c r="F90" s="3" t="s">
        <v>5</v>
      </c>
      <c r="G90" s="4" t="s">
        <v>69</v>
      </c>
      <c r="H90" s="32" t="s">
        <v>69</v>
      </c>
      <c r="I90" s="5" t="str">
        <f t="shared" si="3"/>
        <v>Defs</v>
      </c>
      <c r="J90" t="str">
        <f>IF(Table2[[#This Row],[!Type]]=J$1, J$1,"rg:None")</f>
        <v>rg:None</v>
      </c>
      <c r="K90" t="str">
        <f>IF(Table2[[#This Row],[!Type]]=K$1, K$1,"rg:None")</f>
        <v>rg:None</v>
      </c>
      <c r="L90" t="str">
        <f>IF(Table2[[#This Row],[!Type]]=L$1, L$1,"rg:None")</f>
        <v>rg:None</v>
      </c>
      <c r="M90" t="str">
        <f>IF(Table2[[#This Row],[!Type]]=M$1, M$1,"rg:None")</f>
        <v>id</v>
      </c>
      <c r="N90" s="9" t="str">
        <f>IF(Table2[[#This Row],[!Type]]=N$1, N$1,"rg:None")</f>
        <v>rg:None</v>
      </c>
      <c r="O90" s="9"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9" t="str">
        <f>IF(LEN(Table2[[#This Row],[!Length]]) &gt; 0, Table2[[#This Row],[!Length]], "rg:None")</f>
        <v>rg:None</v>
      </c>
      <c r="U90" s="9" t="str">
        <f>IF(LEN(Table2[[#This Row],[!Name]]) &gt; 0, Table2[[#This Row],[!Name]], "rg:None")</f>
        <v>id</v>
      </c>
      <c r="V90" s="9" t="str">
        <f>IF(LEN(Table2[[#This Row],[!Description]]) &gt; 0, Table2[[#This Row],[!Description]], "rg:None")</f>
        <v>A system-generated unique identifier for a UserFavourite</v>
      </c>
      <c r="W90" s="9" t="str">
        <f>IF(LEN(Table2[[#This Row],[!FK]])&gt;0,Table2[[#This Row],[!FK]],"rg:None")</f>
        <v>rg:None</v>
      </c>
      <c r="X90" s="9" t="str">
        <f>IF(LEN(concatif2(A:A,Table2[[#This Row],[!Table]],G:G,"Y",D:D,",")) &gt; 0,"rg:[ { 'req' : '"&amp;concatif2(A:A,Table2[[#This Row],[!Table]],G:G,"Y",D:D,"' }, { 'req': '")&amp;"'} ]","rg:[]")</f>
        <v>rg:[ { 'req' : 'id'} ]</v>
      </c>
      <c r="Y90" s="9" t="str">
        <f>IF(LEN(Table2[[#This Row],[!Unique]])&gt;0,IF(Table2[[#This Row],[!Type]] = "id", "rg:None","rg:True"),"rg:None")</f>
        <v>rg:None</v>
      </c>
    </row>
    <row r="91" spans="1:25" s="4" customFormat="1" x14ac:dyDescent="0.3">
      <c r="A91" s="3" t="s">
        <v>37</v>
      </c>
      <c r="B91" s="3" t="s">
        <v>7</v>
      </c>
      <c r="C91" s="3"/>
      <c r="D91" s="17" t="s">
        <v>28</v>
      </c>
      <c r="E91" s="17" t="s">
        <v>110</v>
      </c>
      <c r="F91" s="6"/>
      <c r="G91" s="16"/>
      <c r="H91" s="16"/>
      <c r="I91" s="4" t="str">
        <f>IF(LEN(A91) &gt; 0,"Defs","-")</f>
        <v>Defs</v>
      </c>
      <c r="J91" s="14" t="str">
        <f>IF(Table2[[#This Row],[!Type]]=J$1, J$1,"rg:None")</f>
        <v>rg:None</v>
      </c>
      <c r="K91" s="14" t="str">
        <f>IF(Table2[[#This Row],[!Type]]=K$1, K$1,"rg:None")</f>
        <v>rg:None</v>
      </c>
      <c r="L91" s="14" t="str">
        <f>IF(Table2[[#This Row],[!Type]]=L$1, L$1,"rg:None")</f>
        <v>rg:None</v>
      </c>
      <c r="M91" s="14" t="str">
        <f>IF(Table2[[#This Row],[!Type]]=M$1, M$1,"rg:None")</f>
        <v>rg:None</v>
      </c>
      <c r="N91" s="14" t="str">
        <f>IF(Table2[[#This Row],[!Type]]=N$1, N$1,"rg:None")</f>
        <v>rg:None</v>
      </c>
      <c r="O91" s="1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14" t="str">
        <f>IF(LEN(Table2[[#This Row],[!Length]]) &gt; 0, Table2[[#This Row],[!Length]], "rg:None")</f>
        <v>rg:None</v>
      </c>
      <c r="U91" s="14" t="str">
        <f>IF(LEN(Table2[[#This Row],[!Name]]) &gt; 0, Table2[[#This Row],[!Name]], "rg:None")</f>
        <v>type</v>
      </c>
      <c r="V91" s="14" t="str">
        <f>IF(LEN(Table2[[#This Row],[!Description]]) &gt; 0, Table2[[#This Row],[!Description]], "rg:None")</f>
        <v>The type of Favourite</v>
      </c>
      <c r="W91" s="14" t="str">
        <f>IF(LEN(Table2[[#This Row],[!FK]])&gt;0,Table2[[#This Row],[!FK]],"rg:None")</f>
        <v>rg:None</v>
      </c>
      <c r="X91" s="14" t="str">
        <f>IF(LEN(concatif2(A:A,Table2[[#This Row],[!Table]],G:G,"Y",D:D,",")) &gt; 0,"rg:[ { 'req' : '"&amp;concatif2(A:A,Table2[[#This Row],[!Table]],G:G,"Y",D:D,"' }, { 'req': '")&amp;"'} ]","rg:[]")</f>
        <v>rg:[ { 'req' : 'id'} ]</v>
      </c>
      <c r="Y91" s="14" t="str">
        <f>IF(LEN(Table2[[#This Row],[!Unique]])&gt;0,IF(Table2[[#This Row],[!Type]] = "id", "rg:None","rg:True"),"rg:None")</f>
        <v>rg:None</v>
      </c>
    </row>
    <row r="92" spans="1:25" s="4" customFormat="1" x14ac:dyDescent="0.35">
      <c r="A92" s="3" t="s">
        <v>37</v>
      </c>
      <c r="B92" s="3" t="s">
        <v>7</v>
      </c>
      <c r="C92" s="3"/>
      <c r="D92" s="3" t="s">
        <v>17</v>
      </c>
      <c r="E92" s="23" t="s">
        <v>38</v>
      </c>
      <c r="F92" s="3" t="s">
        <v>5</v>
      </c>
      <c r="I92" s="5" t="str">
        <f t="shared" si="3"/>
        <v>Defs</v>
      </c>
      <c r="J92" t="str">
        <f>IF(Table2[[#This Row],[!Type]]=J$1, J$1,"rg:None")</f>
        <v>rg:None</v>
      </c>
      <c r="K92" t="str">
        <f>IF(Table2[[#This Row],[!Type]]=K$1, K$1,"rg:None")</f>
        <v>rg:None</v>
      </c>
      <c r="L92" t="str">
        <f>IF(Table2[[#This Row],[!Type]]=L$1, L$1,"rg:None")</f>
        <v>rg:None</v>
      </c>
      <c r="M92" t="str">
        <f>IF(Table2[[#This Row],[!Type]]=M$1, M$1,"rg:None")</f>
        <v>rg:None</v>
      </c>
      <c r="N92" s="9" t="str">
        <f>IF(Table2[[#This Row],[!Type]]=N$1, N$1,"rg:None")</f>
        <v>rg:None</v>
      </c>
      <c r="O92" s="9"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9" t="str">
        <f>IF(LEN(Table2[[#This Row],[!Length]]) &gt; 0, Table2[[#This Row],[!Length]], "rg:None")</f>
        <v>rg:None</v>
      </c>
      <c r="U92" s="9" t="str">
        <f>IF(LEN(Table2[[#This Row],[!Name]]) &gt; 0, Table2[[#This Row],[!Name]], "rg:None")</f>
        <v>name</v>
      </c>
      <c r="V92" s="9" t="str">
        <f>IF(LEN(Table2[[#This Row],[!Description]]) &gt; 0, Table2[[#This Row],[!Description]], "rg:None")</f>
        <v>The user-defined name for the recorded settings. Allows the user to save different groups of settings and access each one easily when needed.</v>
      </c>
      <c r="W92" s="9" t="str">
        <f>IF(LEN(Table2[[#This Row],[!FK]])&gt;0,Table2[[#This Row],[!FK]],"rg:None")</f>
        <v>rg:None</v>
      </c>
      <c r="X92" s="9" t="str">
        <f>IF(LEN(concatif2(A:A,Table2[[#This Row],[!Table]],G:G,"Y",D:D,",")) &gt; 0,"rg:[ { 'req' : '"&amp;concatif2(A:A,Table2[[#This Row],[!Table]],G:G,"Y",D:D,"' }, { 'req': '")&amp;"'} ]","rg:[]")</f>
        <v>rg:[ { 'req' : 'id'} ]</v>
      </c>
      <c r="Y92" s="9" t="str">
        <f>IF(LEN(Table2[[#This Row],[!Unique]])&gt;0,IF(Table2[[#This Row],[!Type]] = "id", "rg:None","rg:True"),"rg:None")</f>
        <v>rg:None</v>
      </c>
    </row>
    <row r="93" spans="1:25" s="4" customFormat="1" x14ac:dyDescent="0.35">
      <c r="A93" s="3" t="s">
        <v>37</v>
      </c>
      <c r="B93" s="3" t="s">
        <v>7</v>
      </c>
      <c r="C93" s="3"/>
      <c r="D93" s="20" t="s">
        <v>39</v>
      </c>
      <c r="E93" s="23" t="s">
        <v>40</v>
      </c>
      <c r="F93" s="3" t="s">
        <v>5</v>
      </c>
      <c r="I93" s="5" t="str">
        <f t="shared" si="3"/>
        <v>Defs</v>
      </c>
      <c r="J93" t="str">
        <f>IF(Table2[[#This Row],[!Type]]=J$1, J$1,"rg:None")</f>
        <v>rg:None</v>
      </c>
      <c r="K93" t="str">
        <f>IF(Table2[[#This Row],[!Type]]=K$1, K$1,"rg:None")</f>
        <v>rg:None</v>
      </c>
      <c r="L93" t="str">
        <f>IF(Table2[[#This Row],[!Type]]=L$1, L$1,"rg:None")</f>
        <v>rg:None</v>
      </c>
      <c r="M93" t="str">
        <f>IF(Table2[[#This Row],[!Type]]=M$1, M$1,"rg:None")</f>
        <v>rg:None</v>
      </c>
      <c r="N93" s="9" t="str">
        <f>IF(Table2[[#This Row],[!Type]]=N$1, N$1,"rg:None")</f>
        <v>rg:None</v>
      </c>
      <c r="O93" s="9"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9" t="str">
        <f>IF(LEN(Table2[[#This Row],[!Length]]) &gt; 0, Table2[[#This Row],[!Length]], "rg:None")</f>
        <v>rg:None</v>
      </c>
      <c r="U93" s="9" t="str">
        <f>IF(LEN(Table2[[#This Row],[!Name]]) &gt; 0, Table2[[#This Row],[!Name]], "rg:None")</f>
        <v>value</v>
      </c>
      <c r="V93" s="9" t="str">
        <f>IF(LEN(Table2[[#This Row],[!Description]]) &gt; 0, Table2[[#This Row],[!Description]], "rg:None")</f>
        <v>The settings saved by the user. In general,  a UI defined chunk of json that stores the settings in place when the user created the favourite.</v>
      </c>
      <c r="W93" s="9" t="str">
        <f>IF(LEN(Table2[[#This Row],[!FK]])&gt;0,Table2[[#This Row],[!FK]],"rg:None")</f>
        <v>rg:None</v>
      </c>
      <c r="X93" s="9" t="str">
        <f>IF(LEN(concatif2(A:A,Table2[[#This Row],[!Table]],G:G,"Y",D:D,",")) &gt; 0,"rg:[ { 'req' : '"&amp;concatif2(A:A,Table2[[#This Row],[!Table]],G:G,"Y",D:D,"' }, { 'req': '")&amp;"'} ]","rg:[]")</f>
        <v>rg:[ { 'req' : 'id'} ]</v>
      </c>
      <c r="Y93" s="9" t="str">
        <f>IF(LEN(Table2[[#This Row],[!Unique]])&gt;0,IF(Table2[[#This Row],[!Type]] = "id", "rg:None","rg:True"),"rg:None")</f>
        <v>rg:None</v>
      </c>
    </row>
    <row r="94" spans="1:25" s="4" customFormat="1" x14ac:dyDescent="0.35">
      <c r="A94" s="3" t="s">
        <v>37</v>
      </c>
      <c r="B94" s="3" t="s">
        <v>10</v>
      </c>
      <c r="C94" s="3"/>
      <c r="D94" s="3" t="s">
        <v>41</v>
      </c>
      <c r="E94" s="23" t="s">
        <v>42</v>
      </c>
      <c r="F94" s="3" t="s">
        <v>5</v>
      </c>
      <c r="I94" s="5" t="str">
        <f t="shared" si="3"/>
        <v>Defs</v>
      </c>
      <c r="J94" t="str">
        <f>IF(Table2[[#This Row],[!Type]]=J$1, J$1,"rg:None")</f>
        <v>boolean</v>
      </c>
      <c r="K94" t="str">
        <f>IF(Table2[[#This Row],[!Type]]=K$1, K$1,"rg:None")</f>
        <v>rg:None</v>
      </c>
      <c r="L94" t="str">
        <f>IF(Table2[[#This Row],[!Type]]=L$1, L$1,"rg:None")</f>
        <v>rg:None</v>
      </c>
      <c r="M94" t="str">
        <f>IF(Table2[[#This Row],[!Type]]=M$1, M$1,"rg:None")</f>
        <v>rg:None</v>
      </c>
      <c r="N94" s="9" t="str">
        <f>IF(Table2[[#This Row],[!Type]]=N$1, N$1,"rg:None")</f>
        <v>rg:None</v>
      </c>
      <c r="O94" s="9"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9" t="str">
        <f>IF(LEN(Table2[[#This Row],[!Length]]) &gt; 0, Table2[[#This Row],[!Length]], "rg:None")</f>
        <v>rg:None</v>
      </c>
      <c r="U94" s="9" t="str">
        <f>IF(LEN(Table2[[#This Row],[!Name]]) &gt; 0, Table2[[#This Row],[!Name]], "rg:None")</f>
        <v>isDefault</v>
      </c>
      <c r="V94"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94" s="9" t="str">
        <f>IF(LEN(Table2[[#This Row],[!FK]])&gt;0,Table2[[#This Row],[!FK]],"rg:None")</f>
        <v>rg:None</v>
      </c>
      <c r="X94" s="9" t="str">
        <f>IF(LEN(concatif2(A:A,Table2[[#This Row],[!Table]],G:G,"Y",D:D,",")) &gt; 0,"rg:[ { 'req' : '"&amp;concatif2(A:A,Table2[[#This Row],[!Table]],G:G,"Y",D:D,"' }, { 'req': '")&amp;"'} ]","rg:[]")</f>
        <v>rg:[ { 'req' : 'id'} ]</v>
      </c>
      <c r="Y94" s="9" t="str">
        <f>IF(LEN(Table2[[#This Row],[!Unique]])&gt;0,IF(Table2[[#This Row],[!Type]] = "id", "rg:None","rg:True"),"rg:None")</f>
        <v>rg:None</v>
      </c>
    </row>
    <row r="95" spans="1:25" s="4" customFormat="1" x14ac:dyDescent="0.3">
      <c r="A95" s="18" t="s">
        <v>37</v>
      </c>
      <c r="B95" s="3" t="s">
        <v>8</v>
      </c>
      <c r="C95" s="3"/>
      <c r="D95" s="18" t="s">
        <v>0</v>
      </c>
      <c r="E95" s="18"/>
      <c r="F95" s="19" t="s">
        <v>0</v>
      </c>
      <c r="G95" s="16"/>
      <c r="H95" s="16"/>
      <c r="I95" s="4" t="str">
        <f>IF(LEN(A95) &gt; 0,"Defs","-")</f>
        <v>Defs</v>
      </c>
      <c r="J95" s="14" t="str">
        <f>IF(Table2[[#This Row],[!Type]]=J$1, J$1,"rg:None")</f>
        <v>rg:None</v>
      </c>
      <c r="K95" s="14" t="str">
        <f>IF(Table2[[#This Row],[!Type]]=K$1, K$1,"rg:None")</f>
        <v>rg:None</v>
      </c>
      <c r="L95" s="14" t="str">
        <f>IF(Table2[[#This Row],[!Type]]=L$1, L$1,"rg:None")</f>
        <v>rg:None</v>
      </c>
      <c r="M95" s="14" t="str">
        <f>IF(Table2[[#This Row],[!Type]]=M$1, M$1,"rg:None")</f>
        <v>rg:None</v>
      </c>
      <c r="N95" s="14" t="str">
        <f>IF(Table2[[#This Row],[!Type]]=N$1, N$1,"rg:None")</f>
        <v>rg:None</v>
      </c>
      <c r="O95" s="14" t="str">
        <f>IF(Table2[[#This Row],[!Type]]=O$1, O$1,"rg:None")</f>
        <v>rg:None</v>
      </c>
      <c r="P95" s="4" t="str">
        <f>IF(Table2[[#This Row],[!Type]]=P$1, P$1,"rg:None")</f>
        <v>rg:None</v>
      </c>
      <c r="Q95" s="4" t="str">
        <f>IF(Table2[[#This Row],[!Type]]=Q$1, Q$1,"rg:None")</f>
        <v>ref</v>
      </c>
      <c r="R95" s="4" t="str">
        <f>IF(Table2[[#This Row],[!Type]]=R$1, R$1,"rg:None")</f>
        <v>rg:None</v>
      </c>
      <c r="S95" s="4" t="str">
        <f>IF(Table2[[#This Row],[!Type]]=S$1, S$1,"rg:None")</f>
        <v>rg:None</v>
      </c>
      <c r="T95" s="14" t="str">
        <f>IF(LEN(Table2[[#This Row],[!Length]]) &gt; 0, Table2[[#This Row],[!Length]], "rg:None")</f>
        <v>rg:None</v>
      </c>
      <c r="U95" s="14" t="str">
        <f>IF(LEN(Table2[[#This Row],[!Name]]) &gt; 0, Table2[[#This Row],[!Name]], "rg:None")</f>
        <v>User</v>
      </c>
      <c r="V95" s="14" t="str">
        <f>IF(LEN(Table2[[#This Row],[!Description]]) &gt; 0, Table2[[#This Row],[!Description]], "rg:None")</f>
        <v>rg:None</v>
      </c>
      <c r="W95" s="14" t="str">
        <f>IF(LEN(Table2[[#This Row],[!FK]])&gt;0,Table2[[#This Row],[!FK]],"rg:None")</f>
        <v>User</v>
      </c>
      <c r="X95" s="14" t="str">
        <f>IF(LEN(concatif2(A:A,Table2[[#This Row],[!Table]],G:G,"Y",D:D,",")) &gt; 0,"rg:[ { 'req' : '"&amp;concatif2(A:A,Table2[[#This Row],[!Table]],G:G,"Y",D:D,"' }, { 'req': '")&amp;"'} ]","rg:[]")</f>
        <v>rg:[ { 'req' : 'id'} ]</v>
      </c>
      <c r="Y95" s="14" t="str">
        <f>IF(LEN(Table2[[#This Row],[!Unique]])&gt;0,IF(Table2[[#This Row],[!Type]] = "id", "rg:None","rg:True"),"rg:None")</f>
        <v>rg:None</v>
      </c>
    </row>
    <row r="96" spans="1:25" s="4" customFormat="1" x14ac:dyDescent="0.35">
      <c r="A96" s="3" t="s">
        <v>43</v>
      </c>
      <c r="B96" s="3" t="s">
        <v>4</v>
      </c>
      <c r="C96" s="3"/>
      <c r="D96" s="3" t="s">
        <v>43</v>
      </c>
      <c r="E96" s="30" t="s">
        <v>143</v>
      </c>
      <c r="F96" s="3" t="s">
        <v>5</v>
      </c>
      <c r="I96" s="5" t="str">
        <f t="shared" si="3"/>
        <v>Defs</v>
      </c>
      <c r="J96" t="str">
        <f>IF(Table2[[#This Row],[!Type]]=J$1, J$1,"rg:None")</f>
        <v>rg:None</v>
      </c>
      <c r="K96" t="str">
        <f>IF(Table2[[#This Row],[!Type]]=K$1, K$1,"rg:None")</f>
        <v>rg:None</v>
      </c>
      <c r="L96" t="str">
        <f>IF(Table2[[#This Row],[!Type]]=L$1, L$1,"rg:None")</f>
        <v>rg:None</v>
      </c>
      <c r="M96" t="str">
        <f>IF(Table2[[#This Row],[!Type]]=M$1, M$1,"rg:None")</f>
        <v>rg:None</v>
      </c>
      <c r="N96" s="9" t="str">
        <f>IF(Table2[[#This Row],[!Type]]=N$1, N$1,"rg:None")</f>
        <v>rg:None</v>
      </c>
      <c r="O96" s="9"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table</v>
      </c>
      <c r="T96" s="9" t="str">
        <f>IF(LEN(Table2[[#This Row],[!Length]]) &gt; 0, Table2[[#This Row],[!Length]], "rg:None")</f>
        <v>rg:None</v>
      </c>
      <c r="U96" s="9" t="str">
        <f>IF(LEN(Table2[[#This Row],[!Name]]) &gt; 0, Table2[[#This Row],[!Name]], "rg:None")</f>
        <v>Notification</v>
      </c>
      <c r="V96" s="9"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96" s="9" t="str">
        <f>IF(LEN(Table2[[#This Row],[!FK]])&gt;0,Table2[[#This Row],[!FK]],"rg:None")</f>
        <v>rg:None</v>
      </c>
      <c r="X96" s="9" t="str">
        <f>IF(LEN(concatif2(A:A,Table2[[#This Row],[!Table]],G:G,"Y",D:D,",")) &gt; 0,"rg:[ { 'req' : '"&amp;concatif2(A:A,Table2[[#This Row],[!Table]],G:G,"Y",D:D,"' }, { 'req': '")&amp;"'} ]","rg:[]")</f>
        <v>rg:[ { 'req' : 'id'} ]</v>
      </c>
      <c r="Y96" s="9" t="str">
        <f>IF(LEN(Table2[[#This Row],[!Unique]])&gt;0,IF(Table2[[#This Row],[!Type]] = "id", "rg:None","rg:True"),"rg:None")</f>
        <v>rg:None</v>
      </c>
    </row>
    <row r="97" spans="1:25" s="4" customFormat="1" x14ac:dyDescent="0.35">
      <c r="A97" s="3" t="s">
        <v>43</v>
      </c>
      <c r="B97" s="3" t="s">
        <v>6</v>
      </c>
      <c r="C97" s="3"/>
      <c r="D97" s="3" t="s">
        <v>6</v>
      </c>
      <c r="E97" s="23" t="s">
        <v>133</v>
      </c>
      <c r="F97" s="3" t="s">
        <v>5</v>
      </c>
      <c r="G97" s="4" t="s">
        <v>69</v>
      </c>
      <c r="H97" s="32" t="s">
        <v>69</v>
      </c>
      <c r="I97" s="5" t="str">
        <f t="shared" si="3"/>
        <v>Defs</v>
      </c>
      <c r="J97" t="str">
        <f>IF(Table2[[#This Row],[!Type]]=J$1, J$1,"rg:None")</f>
        <v>rg:None</v>
      </c>
      <c r="K97" t="str">
        <f>IF(Table2[[#This Row],[!Type]]=K$1, K$1,"rg:None")</f>
        <v>rg:None</v>
      </c>
      <c r="L97" t="str">
        <f>IF(Table2[[#This Row],[!Type]]=L$1, L$1,"rg:None")</f>
        <v>rg:None</v>
      </c>
      <c r="M97" t="str">
        <f>IF(Table2[[#This Row],[!Type]]=M$1, M$1,"rg:None")</f>
        <v>id</v>
      </c>
      <c r="N97" s="9" t="str">
        <f>IF(Table2[[#This Row],[!Type]]=N$1, N$1,"rg:None")</f>
        <v>rg:None</v>
      </c>
      <c r="O97" s="9"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rg:None</v>
      </c>
      <c r="T97" s="9" t="str">
        <f>IF(LEN(Table2[[#This Row],[!Length]]) &gt; 0, Table2[[#This Row],[!Length]], "rg:None")</f>
        <v>rg:None</v>
      </c>
      <c r="U97" s="9" t="str">
        <f>IF(LEN(Table2[[#This Row],[!Name]]) &gt; 0, Table2[[#This Row],[!Name]], "rg:None")</f>
        <v>id</v>
      </c>
      <c r="V97" s="9" t="str">
        <f>IF(LEN(Table2[[#This Row],[!Description]]) &gt; 0, Table2[[#This Row],[!Description]], "rg:None")</f>
        <v>A system-generated unique identifier for a Notification</v>
      </c>
      <c r="W97" s="9" t="str">
        <f>IF(LEN(Table2[[#This Row],[!FK]])&gt;0,Table2[[#This Row],[!FK]],"rg:None")</f>
        <v>rg:None</v>
      </c>
      <c r="X97" s="9" t="str">
        <f>IF(LEN(concatif2(A:A,Table2[[#This Row],[!Table]],G:G,"Y",D:D,",")) &gt; 0,"rg:[ { 'req' : '"&amp;concatif2(A:A,Table2[[#This Row],[!Table]],G:G,"Y",D:D,"' }, { 'req': '")&amp;"'} ]","rg:[]")</f>
        <v>rg:[ { 'req' : 'id'} ]</v>
      </c>
      <c r="Y97" s="9" t="str">
        <f>IF(LEN(Table2[[#This Row],[!Unique]])&gt;0,IF(Table2[[#This Row],[!Type]] = "id", "rg:None","rg:True"),"rg:None")</f>
        <v>rg:None</v>
      </c>
    </row>
    <row r="98" spans="1:25" s="4" customFormat="1" x14ac:dyDescent="0.35">
      <c r="A98" s="3" t="s">
        <v>43</v>
      </c>
      <c r="B98" s="3" t="s">
        <v>8</v>
      </c>
      <c r="C98" s="3"/>
      <c r="D98" s="3" t="s">
        <v>44</v>
      </c>
      <c r="E98" s="42"/>
      <c r="F98" s="3" t="s">
        <v>45</v>
      </c>
      <c r="I98" s="5" t="str">
        <f t="shared" si="3"/>
        <v>Defs</v>
      </c>
      <c r="J98" t="str">
        <f>IF(Table2[[#This Row],[!Type]]=J$1, J$1,"rg:None")</f>
        <v>rg:None</v>
      </c>
      <c r="K98" t="str">
        <f>IF(Table2[[#This Row],[!Type]]=K$1, K$1,"rg:None")</f>
        <v>rg:None</v>
      </c>
      <c r="L98" t="str">
        <f>IF(Table2[[#This Row],[!Type]]=L$1, L$1,"rg:None")</f>
        <v>rg:None</v>
      </c>
      <c r="M98" t="str">
        <f>IF(Table2[[#This Row],[!Type]]=M$1, M$1,"rg:None")</f>
        <v>rg:None</v>
      </c>
      <c r="N98" s="9" t="str">
        <f>IF(Table2[[#This Row],[!Type]]=N$1, N$1,"rg:None")</f>
        <v>rg:None</v>
      </c>
      <c r="O98" s="9" t="str">
        <f>IF(Table2[[#This Row],[!Type]]=O$1, O$1,"rg:None")</f>
        <v>rg:None</v>
      </c>
      <c r="P98" s="5" t="str">
        <f>IF(Table2[[#This Row],[!Type]]=P$1, P$1,"rg:None")</f>
        <v>rg:None</v>
      </c>
      <c r="Q98" s="5" t="str">
        <f>IF(Table2[[#This Row],[!Type]]=Q$1, Q$1,"rg:None")</f>
        <v>ref</v>
      </c>
      <c r="R98" s="5" t="str">
        <f>IF(Table2[[#This Row],[!Type]]=R$1, R$1,"rg:None")</f>
        <v>rg:None</v>
      </c>
      <c r="S98" s="5" t="str">
        <f>IF(Table2[[#This Row],[!Type]]=S$1, S$1,"rg:None")</f>
        <v>rg:None</v>
      </c>
      <c r="T98" s="9" t="str">
        <f>IF(LEN(Table2[[#This Row],[!Length]]) &gt; 0, Table2[[#This Row],[!Length]], "rg:None")</f>
        <v>rg:None</v>
      </c>
      <c r="U98" s="9" t="str">
        <f>IF(LEN(Table2[[#This Row],[!Name]]) &gt; 0, Table2[[#This Row],[!Name]], "rg:None")</f>
        <v>event</v>
      </c>
      <c r="V98" s="9" t="str">
        <f>IF(LEN(Table2[[#This Row],[!Description]]) &gt; 0, Table2[[#This Row],[!Description]], "rg:None")</f>
        <v>rg:None</v>
      </c>
      <c r="W98" s="9" t="str">
        <f>IF(LEN(Table2[[#This Row],[!FK]])&gt;0,Table2[[#This Row],[!FK]],"rg:None")</f>
        <v>NotificationEvent</v>
      </c>
      <c r="X98" s="9" t="str">
        <f>IF(LEN(concatif2(A:A,Table2[[#This Row],[!Table]],G:G,"Y",D:D,",")) &gt; 0,"rg:[ { 'req' : '"&amp;concatif2(A:A,Table2[[#This Row],[!Table]],G:G,"Y",D:D,"' }, { 'req': '")&amp;"'} ]","rg:[]")</f>
        <v>rg:[ { 'req' : 'id'} ]</v>
      </c>
      <c r="Y98" s="9" t="str">
        <f>IF(LEN(Table2[[#This Row],[!Unique]])&gt;0,IF(Table2[[#This Row],[!Type]] = "id", "rg:None","rg:True"),"rg:None")</f>
        <v>rg:None</v>
      </c>
    </row>
    <row r="99" spans="1:25" s="4" customFormat="1" x14ac:dyDescent="0.35">
      <c r="A99" s="3" t="s">
        <v>43</v>
      </c>
      <c r="B99" s="3" t="s">
        <v>10</v>
      </c>
      <c r="C99" s="3"/>
      <c r="D99" s="3" t="s">
        <v>46</v>
      </c>
      <c r="E99" s="48" t="s">
        <v>244</v>
      </c>
      <c r="F99" s="3" t="s">
        <v>5</v>
      </c>
      <c r="I99" s="5" t="str">
        <f t="shared" si="3"/>
        <v>Defs</v>
      </c>
      <c r="J99" t="str">
        <f>IF(Table2[[#This Row],[!Type]]=J$1, J$1,"rg:None")</f>
        <v>boolean</v>
      </c>
      <c r="K99" t="str">
        <f>IF(Table2[[#This Row],[!Type]]=K$1, K$1,"rg:None")</f>
        <v>rg:None</v>
      </c>
      <c r="L99" t="str">
        <f>IF(Table2[[#This Row],[!Type]]=L$1, L$1,"rg:None")</f>
        <v>rg:None</v>
      </c>
      <c r="M99" t="str">
        <f>IF(Table2[[#This Row],[!Type]]=M$1, M$1,"rg:None")</f>
        <v>rg:None</v>
      </c>
      <c r="N99" s="9" t="str">
        <f>IF(Table2[[#This Row],[!Type]]=N$1, N$1,"rg:None")</f>
        <v>rg:None</v>
      </c>
      <c r="O99" s="9"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9" t="str">
        <f>IF(LEN(Table2[[#This Row],[!Length]]) &gt; 0, Table2[[#This Row],[!Length]], "rg:None")</f>
        <v>rg:None</v>
      </c>
      <c r="U99" s="9" t="str">
        <f>IF(LEN(Table2[[#This Row],[!Name]]) &gt; 0, Table2[[#This Row],[!Name]], "rg:None")</f>
        <v>hasBeenViewed</v>
      </c>
      <c r="V99" s="9" t="str">
        <f>IF(LEN(Table2[[#This Row],[!Description]]) &gt; 0, Table2[[#This Row],[!Description]], "rg:None")</f>
        <v>True if the user linked to the notification has read the notification</v>
      </c>
      <c r="W99" s="9" t="str">
        <f>IF(LEN(Table2[[#This Row],[!FK]])&gt;0,Table2[[#This Row],[!FK]],"rg:None")</f>
        <v>rg:None</v>
      </c>
      <c r="X99" s="9" t="str">
        <f>IF(LEN(concatif2(A:A,Table2[[#This Row],[!Table]],G:G,"Y",D:D,",")) &gt; 0,"rg:[ { 'req' : '"&amp;concatif2(A:A,Table2[[#This Row],[!Table]],G:G,"Y",D:D,"' }, { 'req': '")&amp;"'} ]","rg:[]")</f>
        <v>rg:[ { 'req' : 'id'} ]</v>
      </c>
      <c r="Y99" s="9" t="str">
        <f>IF(LEN(Table2[[#This Row],[!Unique]])&gt;0,IF(Table2[[#This Row],[!Type]] = "id", "rg:None","rg:True"),"rg:None")</f>
        <v>rg:None</v>
      </c>
    </row>
    <row r="100" spans="1:25" s="4" customFormat="1" x14ac:dyDescent="0.35">
      <c r="A100" s="3" t="s">
        <v>43</v>
      </c>
      <c r="B100" s="3" t="s">
        <v>10</v>
      </c>
      <c r="C100" s="3"/>
      <c r="D100" s="3" t="s">
        <v>47</v>
      </c>
      <c r="E100" s="48" t="s">
        <v>245</v>
      </c>
      <c r="F100" s="3" t="s">
        <v>5</v>
      </c>
      <c r="I100" s="5" t="str">
        <f t="shared" si="3"/>
        <v>Defs</v>
      </c>
      <c r="J100" t="str">
        <f>IF(Table2[[#This Row],[!Type]]=J$1, J$1,"rg:None")</f>
        <v>boolean</v>
      </c>
      <c r="K100" t="str">
        <f>IF(Table2[[#This Row],[!Type]]=K$1, K$1,"rg:None")</f>
        <v>rg:None</v>
      </c>
      <c r="L100" t="str">
        <f>IF(Table2[[#This Row],[!Type]]=L$1, L$1,"rg:None")</f>
        <v>rg:None</v>
      </c>
      <c r="M100" t="str">
        <f>IF(Table2[[#This Row],[!Type]]=M$1, M$1,"rg:None")</f>
        <v>rg:None</v>
      </c>
      <c r="N100" s="9" t="str">
        <f>IF(Table2[[#This Row],[!Type]]=N$1, N$1,"rg:None")</f>
        <v>rg:None</v>
      </c>
      <c r="O100" s="9"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rg:None</v>
      </c>
      <c r="T100" s="9" t="str">
        <f>IF(LEN(Table2[[#This Row],[!Length]]) &gt; 0, Table2[[#This Row],[!Length]], "rg:None")</f>
        <v>rg:None</v>
      </c>
      <c r="U100" s="9" t="str">
        <f>IF(LEN(Table2[[#This Row],[!Name]]) &gt; 0, Table2[[#This Row],[!Name]], "rg:None")</f>
        <v>isWatchNotification</v>
      </c>
      <c r="V100" s="9" t="str">
        <f>IF(LEN(Table2[[#This Row],[!Description]]) &gt; 0, Table2[[#This Row],[!Description]], "rg:None")</f>
        <v>True if the user linked to the notification has flagged the notification to remain visible</v>
      </c>
      <c r="W100" s="9" t="str">
        <f>IF(LEN(Table2[[#This Row],[!FK]])&gt;0,Table2[[#This Row],[!FK]],"rg:None")</f>
        <v>rg:None</v>
      </c>
      <c r="X100" s="9" t="str">
        <f>IF(LEN(concatif2(A:A,Table2[[#This Row],[!Table]],G:G,"Y",D:D,",")) &gt; 0,"rg:[ { 'req' : '"&amp;concatif2(A:A,Table2[[#This Row],[!Table]],G:G,"Y",D:D,"' }, { 'req': '")&amp;"'} ]","rg:[]")</f>
        <v>rg:[ { 'req' : 'id'} ]</v>
      </c>
      <c r="Y100" s="9" t="str">
        <f>IF(LEN(Table2[[#This Row],[!Unique]])&gt;0,IF(Table2[[#This Row],[!Type]] = "id", "rg:None","rg:True"),"rg:None")</f>
        <v>rg:None</v>
      </c>
    </row>
    <row r="101" spans="1:25" s="4" customFormat="1" x14ac:dyDescent="0.35">
      <c r="A101" s="3" t="s">
        <v>43</v>
      </c>
      <c r="B101" s="3" t="s">
        <v>8</v>
      </c>
      <c r="C101" s="3"/>
      <c r="D101" s="3" t="s">
        <v>48</v>
      </c>
      <c r="E101" s="42"/>
      <c r="F101" s="3" t="s">
        <v>0</v>
      </c>
      <c r="I101" s="5" t="str">
        <f t="shared" si="3"/>
        <v>Defs</v>
      </c>
      <c r="J101" t="str">
        <f>IF(Table2[[#This Row],[!Type]]=J$1, J$1,"rg:None")</f>
        <v>rg:None</v>
      </c>
      <c r="K101" t="str">
        <f>IF(Table2[[#This Row],[!Type]]=K$1, K$1,"rg:None")</f>
        <v>rg:None</v>
      </c>
      <c r="L101" t="str">
        <f>IF(Table2[[#This Row],[!Type]]=L$1, L$1,"rg:None")</f>
        <v>rg:None</v>
      </c>
      <c r="M101" t="str">
        <f>IF(Table2[[#This Row],[!Type]]=M$1, M$1,"rg:None")</f>
        <v>rg:None</v>
      </c>
      <c r="N101" s="9" t="str">
        <f>IF(Table2[[#This Row],[!Type]]=N$1, N$1,"rg:None")</f>
        <v>rg:None</v>
      </c>
      <c r="O101" s="9" t="str">
        <f>IF(Table2[[#This Row],[!Type]]=O$1, O$1,"rg:None")</f>
        <v>rg:None</v>
      </c>
      <c r="P101" s="5" t="str">
        <f>IF(Table2[[#This Row],[!Type]]=P$1, P$1,"rg:None")</f>
        <v>rg:None</v>
      </c>
      <c r="Q101" s="5" t="str">
        <f>IF(Table2[[#This Row],[!Type]]=Q$1, Q$1,"rg:None")</f>
        <v>ref</v>
      </c>
      <c r="R101" s="5" t="str">
        <f>IF(Table2[[#This Row],[!Type]]=R$1, R$1,"rg:None")</f>
        <v>rg:None</v>
      </c>
      <c r="S101" s="5" t="str">
        <f>IF(Table2[[#This Row],[!Type]]=S$1, S$1,"rg:None")</f>
        <v>rg:None</v>
      </c>
      <c r="T101" s="9" t="str">
        <f>IF(LEN(Table2[[#This Row],[!Length]]) &gt; 0, Table2[[#This Row],[!Length]], "rg:None")</f>
        <v>rg:None</v>
      </c>
      <c r="U101" s="9" t="str">
        <f>IF(LEN(Table2[[#This Row],[!Name]]) &gt; 0, Table2[[#This Row],[!Name]], "rg:None")</f>
        <v>user</v>
      </c>
      <c r="V101" s="9" t="str">
        <f>IF(LEN(Table2[[#This Row],[!Description]]) &gt; 0, Table2[[#This Row],[!Description]], "rg:None")</f>
        <v>rg:None</v>
      </c>
      <c r="W101" s="9" t="str">
        <f>IF(LEN(Table2[[#This Row],[!FK]])&gt;0,Table2[[#This Row],[!FK]],"rg:None")</f>
        <v>User</v>
      </c>
      <c r="X101" s="9" t="str">
        <f>IF(LEN(concatif2(A:A,Table2[[#This Row],[!Table]],G:G,"Y",D:D,",")) &gt; 0,"rg:[ { 'req' : '"&amp;concatif2(A:A,Table2[[#This Row],[!Table]],G:G,"Y",D:D,"' }, { 'req': '")&amp;"'} ]","rg:[]")</f>
        <v>rg:[ { 'req' : 'id'} ]</v>
      </c>
      <c r="Y101" s="9" t="str">
        <f>IF(LEN(Table2[[#This Row],[!Unique]])&gt;0,IF(Table2[[#This Row],[!Type]] = "id", "rg:None","rg:True"),"rg:None")</f>
        <v>rg:None</v>
      </c>
    </row>
    <row r="102" spans="1:25" s="4" customFormat="1" x14ac:dyDescent="0.35">
      <c r="A102" s="3" t="s">
        <v>45</v>
      </c>
      <c r="B102" s="3" t="s">
        <v>4</v>
      </c>
      <c r="C102" s="3"/>
      <c r="D102" s="3" t="s">
        <v>45</v>
      </c>
      <c r="E102" s="48" t="s">
        <v>246</v>
      </c>
      <c r="F102" s="3" t="s">
        <v>5</v>
      </c>
      <c r="I102" s="5" t="str">
        <f t="shared" si="3"/>
        <v>Defs</v>
      </c>
      <c r="J102" t="str">
        <f>IF(Table2[[#This Row],[!Type]]=J$1, J$1,"rg:None")</f>
        <v>rg:None</v>
      </c>
      <c r="K102" t="str">
        <f>IF(Table2[[#This Row],[!Type]]=K$1, K$1,"rg:None")</f>
        <v>rg:None</v>
      </c>
      <c r="L102" t="str">
        <f>IF(Table2[[#This Row],[!Type]]=L$1, L$1,"rg:None")</f>
        <v>rg:None</v>
      </c>
      <c r="M102" t="str">
        <f>IF(Table2[[#This Row],[!Type]]=M$1, M$1,"rg:None")</f>
        <v>rg:None</v>
      </c>
      <c r="N102" s="9" t="str">
        <f>IF(Table2[[#This Row],[!Type]]=N$1, N$1,"rg:None")</f>
        <v>rg:None</v>
      </c>
      <c r="O102" s="9"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9" t="str">
        <f>IF(LEN(Table2[[#This Row],[!Length]]) &gt; 0, Table2[[#This Row],[!Length]], "rg:None")</f>
        <v>rg:None</v>
      </c>
      <c r="U102" s="9" t="str">
        <f>IF(LEN(Table2[[#This Row],[!Name]]) &gt; 0, Table2[[#This Row],[!Name]], "rg:None")</f>
        <v>NotificationEvent</v>
      </c>
      <c r="V102" s="9" t="str">
        <f>IF(LEN(Table2[[#This Row],[!Description]]) &gt; 0, Table2[[#This Row],[!Description]], "rg:None")</f>
        <v>Notifications associated about changes to information related to a specific Credit Trade - eg trade suggested, trade countered, trade approved, etc.</v>
      </c>
      <c r="W102" s="9" t="str">
        <f>IF(LEN(Table2[[#This Row],[!FK]])&gt;0,Table2[[#This Row],[!FK]],"rg:None")</f>
        <v>rg:None</v>
      </c>
      <c r="X102" s="9" t="str">
        <f>IF(LEN(concatif2(A:A,Table2[[#This Row],[!Table]],G:G,"Y",D:D,",")) &gt; 0,"rg:[ { 'req' : '"&amp;concatif2(A:A,Table2[[#This Row],[!Table]],G:G,"Y",D:D,"' }, { 'req': '")&amp;"'} ]","rg:[]")</f>
        <v>rg:[ { 'req' : 'id'} ]</v>
      </c>
      <c r="Y102" s="9" t="str">
        <f>IF(LEN(Table2[[#This Row],[!Unique]])&gt;0,IF(Table2[[#This Row],[!Type]] = "id", "rg:None","rg:True"),"rg:None")</f>
        <v>rg:None</v>
      </c>
    </row>
    <row r="103" spans="1:25" s="4" customFormat="1" x14ac:dyDescent="0.35">
      <c r="A103" s="3" t="s">
        <v>45</v>
      </c>
      <c r="B103" s="3" t="s">
        <v>6</v>
      </c>
      <c r="C103" s="3"/>
      <c r="D103" s="3" t="s">
        <v>6</v>
      </c>
      <c r="E103" s="23" t="s">
        <v>134</v>
      </c>
      <c r="F103" s="3" t="s">
        <v>5</v>
      </c>
      <c r="G103" s="4" t="s">
        <v>69</v>
      </c>
      <c r="H103" s="32" t="s">
        <v>69</v>
      </c>
      <c r="I103" s="5" t="str">
        <f t="shared" si="3"/>
        <v>Defs</v>
      </c>
      <c r="J103" t="str">
        <f>IF(Table2[[#This Row],[!Type]]=J$1, J$1,"rg:None")</f>
        <v>rg:None</v>
      </c>
      <c r="K103" t="str">
        <f>IF(Table2[[#This Row],[!Type]]=K$1, K$1,"rg:None")</f>
        <v>rg:None</v>
      </c>
      <c r="L103" t="str">
        <f>IF(Table2[[#This Row],[!Type]]=L$1, L$1,"rg:None")</f>
        <v>rg:None</v>
      </c>
      <c r="M103" t="str">
        <f>IF(Table2[[#This Row],[!Type]]=M$1, M$1,"rg:None")</f>
        <v>id</v>
      </c>
      <c r="N103" s="9" t="str">
        <f>IF(Table2[[#This Row],[!Type]]=N$1, N$1,"rg:None")</f>
        <v>rg:None</v>
      </c>
      <c r="O103" s="9"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9" t="str">
        <f>IF(LEN(Table2[[#This Row],[!Length]]) &gt; 0, Table2[[#This Row],[!Length]], "rg:None")</f>
        <v>rg:None</v>
      </c>
      <c r="U103" s="9" t="str">
        <f>IF(LEN(Table2[[#This Row],[!Name]]) &gt; 0, Table2[[#This Row],[!Name]], "rg:None")</f>
        <v>id</v>
      </c>
      <c r="V103" s="9" t="str">
        <f>IF(LEN(Table2[[#This Row],[!Description]]) &gt; 0, Table2[[#This Row],[!Description]], "rg:None")</f>
        <v>A system-generated unique identifier for a NotificationEvent</v>
      </c>
      <c r="W103" s="9" t="str">
        <f>IF(LEN(Table2[[#This Row],[!FK]])&gt;0,Table2[[#This Row],[!FK]],"rg:None")</f>
        <v>rg:None</v>
      </c>
      <c r="X103" s="9" t="str">
        <f>IF(LEN(concatif2(A:A,Table2[[#This Row],[!Table]],G:G,"Y",D:D,",")) &gt; 0,"rg:[ { 'req' : '"&amp;concatif2(A:A,Table2[[#This Row],[!Table]],G:G,"Y",D:D,"' }, { 'req': '")&amp;"'} ]","rg:[]")</f>
        <v>rg:[ { 'req' : 'id'} ]</v>
      </c>
      <c r="Y103" s="9" t="str">
        <f>IF(LEN(Table2[[#This Row],[!Unique]])&gt;0,IF(Table2[[#This Row],[!Type]] = "id", "rg:None","rg:True"),"rg:None")</f>
        <v>rg:None</v>
      </c>
    </row>
    <row r="104" spans="1:25" s="4" customFormat="1" x14ac:dyDescent="0.35">
      <c r="A104" s="3" t="s">
        <v>45</v>
      </c>
      <c r="B104" s="8" t="s">
        <v>11</v>
      </c>
      <c r="C104" s="3"/>
      <c r="D104" s="3" t="s">
        <v>49</v>
      </c>
      <c r="E104" s="30" t="s">
        <v>144</v>
      </c>
      <c r="F104" s="3" t="s">
        <v>5</v>
      </c>
      <c r="I104" s="5" t="str">
        <f t="shared" si="3"/>
        <v>Defs</v>
      </c>
      <c r="J104" t="str">
        <f>IF(Table2[[#This Row],[!Type]]=J$1, J$1,"rg:None")</f>
        <v>rg:None</v>
      </c>
      <c r="K104" t="str">
        <f>IF(Table2[[#This Row],[!Type]]=K$1, K$1,"rg:None")</f>
        <v>rg:None</v>
      </c>
      <c r="L104" t="str">
        <f>IF(Table2[[#This Row],[!Type]]=L$1, L$1,"rg:None")</f>
        <v>datetime</v>
      </c>
      <c r="M104" t="str">
        <f>IF(Table2[[#This Row],[!Type]]=M$1, M$1,"rg:None")</f>
        <v>rg:None</v>
      </c>
      <c r="N104" s="9" t="str">
        <f>IF(Table2[[#This Row],[!Type]]=N$1, N$1,"rg:None")</f>
        <v>rg:None</v>
      </c>
      <c r="O104" s="9"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9" t="str">
        <f>IF(LEN(Table2[[#This Row],[!Length]]) &gt; 0, Table2[[#This Row],[!Length]], "rg:None")</f>
        <v>rg:None</v>
      </c>
      <c r="U104" s="9" t="str">
        <f>IF(LEN(Table2[[#This Row],[!Name]]) &gt; 0, Table2[[#This Row],[!Name]], "rg:None")</f>
        <v>eventTime</v>
      </c>
      <c r="V104" s="9" t="str">
        <f>IF(LEN(Table2[[#This Row],[!Description]]) &gt; 0, Table2[[#This Row],[!Description]], "rg:None")</f>
        <v>The date/time of the creation of the event that triggered the creation of the notification.</v>
      </c>
      <c r="W104" s="9" t="str">
        <f>IF(LEN(Table2[[#This Row],[!FK]])&gt;0,Table2[[#This Row],[!FK]],"rg:None")</f>
        <v>rg:None</v>
      </c>
      <c r="X104" s="9" t="str">
        <f>IF(LEN(concatif2(A:A,Table2[[#This Row],[!Table]],G:G,"Y",D:D,",")) &gt; 0,"rg:[ { 'req' : '"&amp;concatif2(A:A,Table2[[#This Row],[!Table]],G:G,"Y",D:D,"' }, { 'req': '")&amp;"'} ]","rg:[]")</f>
        <v>rg:[ { 'req' : 'id'} ]</v>
      </c>
      <c r="Y104" s="9" t="str">
        <f>IF(LEN(Table2[[#This Row],[!Unique]])&gt;0,IF(Table2[[#This Row],[!Type]] = "id", "rg:None","rg:True"),"rg:None")</f>
        <v>rg:None</v>
      </c>
    </row>
    <row r="105" spans="1:25" s="4" customFormat="1" x14ac:dyDescent="0.35">
      <c r="A105" s="3" t="s">
        <v>45</v>
      </c>
      <c r="B105" s="3" t="s">
        <v>7</v>
      </c>
      <c r="C105" s="3"/>
      <c r="D105" s="3" t="s">
        <v>50</v>
      </c>
      <c r="E105" s="48" t="s">
        <v>247</v>
      </c>
      <c r="F105" s="3" t="s">
        <v>5</v>
      </c>
      <c r="I105" s="5" t="str">
        <f t="shared" si="3"/>
        <v>Defs</v>
      </c>
      <c r="J105" t="str">
        <f>IF(Table2[[#This Row],[!Type]]=J$1, J$1,"rg:None")</f>
        <v>rg:None</v>
      </c>
      <c r="K105" t="str">
        <f>IF(Table2[[#This Row],[!Type]]=K$1, K$1,"rg:None")</f>
        <v>rg:None</v>
      </c>
      <c r="L105" t="str">
        <f>IF(Table2[[#This Row],[!Type]]=L$1, L$1,"rg:None")</f>
        <v>rg:None</v>
      </c>
      <c r="M105" t="str">
        <f>IF(Table2[[#This Row],[!Type]]=M$1, M$1,"rg:None")</f>
        <v>rg:None</v>
      </c>
      <c r="N105" s="9" t="str">
        <f>IF(Table2[[#This Row],[!Type]]=N$1, N$1,"rg:None")</f>
        <v>rg:None</v>
      </c>
      <c r="O105" s="9"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9" t="str">
        <f>IF(LEN(Table2[[#This Row],[!Length]]) &gt; 0, Table2[[#This Row],[!Length]], "rg:None")</f>
        <v>rg:None</v>
      </c>
      <c r="U105" s="9" t="str">
        <f>IF(LEN(Table2[[#This Row],[!Name]]) &gt; 0, Table2[[#This Row],[!Name]], "rg:None")</f>
        <v>eventTypeCode</v>
      </c>
      <c r="V105" s="9"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05" s="9" t="str">
        <f>IF(LEN(Table2[[#This Row],[!FK]])&gt;0,Table2[[#This Row],[!FK]],"rg:None")</f>
        <v>rg:None</v>
      </c>
      <c r="X105" s="9" t="str">
        <f>IF(LEN(concatif2(A:A,Table2[[#This Row],[!Table]],G:G,"Y",D:D,",")) &gt; 0,"rg:[ { 'req' : '"&amp;concatif2(A:A,Table2[[#This Row],[!Table]],G:G,"Y",D:D,"' }, { 'req': '")&amp;"'} ]","rg:[]")</f>
        <v>rg:[ { 'req' : 'id'} ]</v>
      </c>
      <c r="Y105" s="9" t="str">
        <f>IF(LEN(Table2[[#This Row],[!Unique]])&gt;0,IF(Table2[[#This Row],[!Type]] = "id", "rg:None","rg:True"),"rg:None")</f>
        <v>rg:None</v>
      </c>
    </row>
    <row r="106" spans="1:25" s="4" customFormat="1" x14ac:dyDescent="0.35">
      <c r="A106" s="3" t="s">
        <v>45</v>
      </c>
      <c r="B106" s="3" t="s">
        <v>7</v>
      </c>
      <c r="C106" s="3"/>
      <c r="D106" s="3" t="s">
        <v>26</v>
      </c>
      <c r="E106" s="30" t="s">
        <v>149</v>
      </c>
      <c r="F106" s="3" t="s">
        <v>5</v>
      </c>
      <c r="I106" s="5" t="str">
        <f t="shared" si="3"/>
        <v>Defs</v>
      </c>
      <c r="J106" t="str">
        <f>IF(Table2[[#This Row],[!Type]]=J$1, J$1,"rg:None")</f>
        <v>rg:None</v>
      </c>
      <c r="K106" t="str">
        <f>IF(Table2[[#This Row],[!Type]]=K$1, K$1,"rg:None")</f>
        <v>rg:None</v>
      </c>
      <c r="L106" t="str">
        <f>IF(Table2[[#This Row],[!Type]]=L$1, L$1,"rg:None")</f>
        <v>rg:None</v>
      </c>
      <c r="M106" t="str">
        <f>IF(Table2[[#This Row],[!Type]]=M$1, M$1,"rg:None")</f>
        <v>rg:None</v>
      </c>
      <c r="N106" s="9" t="str">
        <f>IF(Table2[[#This Row],[!Type]]=N$1, N$1,"rg:None")</f>
        <v>rg:None</v>
      </c>
      <c r="O106" s="9"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9" t="str">
        <f>IF(LEN(Table2[[#This Row],[!Length]]) &gt; 0, Table2[[#This Row],[!Length]], "rg:None")</f>
        <v>rg:None</v>
      </c>
      <c r="U106" s="9" t="str">
        <f>IF(LEN(Table2[[#This Row],[!Name]]) &gt; 0, Table2[[#This Row],[!Name]], "rg:None")</f>
        <v>notes</v>
      </c>
      <c r="V106" s="9"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06" s="9" t="str">
        <f>IF(LEN(Table2[[#This Row],[!FK]])&gt;0,Table2[[#This Row],[!FK]],"rg:None")</f>
        <v>rg:None</v>
      </c>
      <c r="X106" s="9" t="str">
        <f>IF(LEN(concatif2(A:A,Table2[[#This Row],[!Table]],G:G,"Y",D:D,",")) &gt; 0,"rg:[ { 'req' : '"&amp;concatif2(A:A,Table2[[#This Row],[!Table]],G:G,"Y",D:D,"' }, { 'req': '")&amp;"'} ]","rg:[]")</f>
        <v>rg:[ { 'req' : 'id'} ]</v>
      </c>
      <c r="Y106" s="9" t="str">
        <f>IF(LEN(Table2[[#This Row],[!Unique]])&gt;0,IF(Table2[[#This Row],[!Type]] = "id", "rg:None","rg:True"),"rg:None")</f>
        <v>rg:None</v>
      </c>
    </row>
    <row r="107" spans="1:25" s="4" customFormat="1" x14ac:dyDescent="0.35">
      <c r="A107" s="3" t="s">
        <v>45</v>
      </c>
      <c r="B107" s="3" t="s">
        <v>8</v>
      </c>
      <c r="C107" s="3"/>
      <c r="D107" s="47" t="s">
        <v>232</v>
      </c>
      <c r="E107" s="48"/>
      <c r="F107" s="47" t="s">
        <v>221</v>
      </c>
      <c r="I107" s="5" t="str">
        <f t="shared" si="3"/>
        <v>Defs</v>
      </c>
      <c r="J107" t="str">
        <f>IF(Table2[[#This Row],[!Type]]=J$1, J$1,"rg:None")</f>
        <v>rg:None</v>
      </c>
      <c r="K107" t="str">
        <f>IF(Table2[[#This Row],[!Type]]=K$1, K$1,"rg:None")</f>
        <v>rg:None</v>
      </c>
      <c r="L107" t="str">
        <f>IF(Table2[[#This Row],[!Type]]=L$1, L$1,"rg:None")</f>
        <v>rg:None</v>
      </c>
      <c r="M107" t="str">
        <f>IF(Table2[[#This Row],[!Type]]=M$1, M$1,"rg:None")</f>
        <v>rg:None</v>
      </c>
      <c r="N107" s="9" t="str">
        <f>IF(Table2[[#This Row],[!Type]]=N$1, N$1,"rg:None")</f>
        <v>rg:None</v>
      </c>
      <c r="O107" s="9" t="str">
        <f>IF(Table2[[#This Row],[!Type]]=O$1, O$1,"rg:None")</f>
        <v>rg:None</v>
      </c>
      <c r="P107" s="5" t="str">
        <f>IF(Table2[[#This Row],[!Type]]=P$1, P$1,"rg:None")</f>
        <v>rg:None</v>
      </c>
      <c r="Q107" s="5" t="str">
        <f>IF(Table2[[#This Row],[!Type]]=Q$1, Q$1,"rg:None")</f>
        <v>ref</v>
      </c>
      <c r="R107" s="5" t="str">
        <f>IF(Table2[[#This Row],[!Type]]=R$1, R$1,"rg:None")</f>
        <v>rg:None</v>
      </c>
      <c r="S107" s="5" t="str">
        <f>IF(Table2[[#This Row],[!Type]]=S$1, S$1,"rg:None")</f>
        <v>rg:None</v>
      </c>
      <c r="T107" s="9" t="str">
        <f>IF(LEN(Table2[[#This Row],[!Length]]) &gt; 0, Table2[[#This Row],[!Length]], "rg:None")</f>
        <v>rg:None</v>
      </c>
      <c r="U107" s="9" t="str">
        <f>IF(LEN(Table2[[#This Row],[!Name]]) &gt; 0, Table2[[#This Row],[!Name]], "rg:None")</f>
        <v>creditTrade</v>
      </c>
      <c r="V107" s="9" t="str">
        <f>IF(LEN(Table2[[#This Row],[!Description]]) &gt; 0, Table2[[#This Row],[!Description]], "rg:None")</f>
        <v>rg:None</v>
      </c>
      <c r="W107" s="9" t="str">
        <f>IF(LEN(Table2[[#This Row],[!FK]])&gt;0,Table2[[#This Row],[!FK]],"rg:None")</f>
        <v>CreditTrade</v>
      </c>
      <c r="X107" s="9" t="str">
        <f>IF(LEN(concatif2(A:A,Table2[[#This Row],[!Table]],G:G,"Y",D:D,",")) &gt; 0,"rg:[ { 'req' : '"&amp;concatif2(A:A,Table2[[#This Row],[!Table]],G:G,"Y",D:D,"' }, { 'req': '")&amp;"'} ]","rg:[]")</f>
        <v>rg:[ { 'req' : 'id'} ]</v>
      </c>
      <c r="Y107" s="9" t="str">
        <f>IF(LEN(Table2[[#This Row],[!Unique]])&gt;0,IF(Table2[[#This Row],[!Type]] = "id", "rg:None","rg:True"),"rg:None")</f>
        <v>rg:None</v>
      </c>
    </row>
    <row r="108" spans="1:25" s="4" customFormat="1" x14ac:dyDescent="0.35">
      <c r="A108" s="64" t="s">
        <v>45</v>
      </c>
      <c r="B108" s="64" t="s">
        <v>8</v>
      </c>
      <c r="C108" s="3"/>
      <c r="D108" s="64" t="s">
        <v>267</v>
      </c>
      <c r="E108" s="49"/>
      <c r="F108" s="66" t="s">
        <v>263</v>
      </c>
      <c r="G108" s="16"/>
      <c r="H108" s="16"/>
      <c r="I108" s="4" t="str">
        <f>IF(LEN(A108) &gt; 0,"Defs","-")</f>
        <v>Defs</v>
      </c>
      <c r="J108" s="14" t="str">
        <f>IF(Table2[[#This Row],[!Type]]=J$1, J$1,"rg:None")</f>
        <v>rg:None</v>
      </c>
      <c r="K108" s="27" t="str">
        <f>IF(Table2[[#This Row],[!Type]]=K$1, K$1,"rg:None")</f>
        <v>rg:None</v>
      </c>
      <c r="L108" s="14" t="str">
        <f>IF(Table2[[#This Row],[!Type]]=L$1, L$1,"rg:None")</f>
        <v>rg:None</v>
      </c>
      <c r="M108" s="14" t="str">
        <f>IF(Table2[[#This Row],[!Type]]=M$1, M$1,"rg:None")</f>
        <v>rg:None</v>
      </c>
      <c r="N108" s="14" t="str">
        <f>IF(Table2[[#This Row],[!Type]]=N$1, N$1,"rg:None")</f>
        <v>rg:None</v>
      </c>
      <c r="O108" s="14" t="str">
        <f>IF(Table2[[#This Row],[!Type]]=O$1, O$1,"rg:None")</f>
        <v>rg:None</v>
      </c>
      <c r="P108" s="4" t="str">
        <f>IF(Table2[[#This Row],[!Type]]=P$1, P$1,"rg:None")</f>
        <v>rg:None</v>
      </c>
      <c r="Q108" s="4" t="str">
        <f>IF(Table2[[#This Row],[!Type]]=Q$1, Q$1,"rg:None")</f>
        <v>ref</v>
      </c>
      <c r="R108" s="4" t="str">
        <f>IF(Table2[[#This Row],[!Type]]=R$1, R$1,"rg:None")</f>
        <v>rg:None</v>
      </c>
      <c r="S108" s="4" t="str">
        <f>IF(Table2[[#This Row],[!Type]]=S$1, S$1,"rg:None")</f>
        <v>rg:None</v>
      </c>
      <c r="T108" s="14" t="str">
        <f>IF(LEN(Table2[[#This Row],[!Length]]) &gt; 0, Table2[[#This Row],[!Length]], "rg:None")</f>
        <v>rg:None</v>
      </c>
      <c r="U108" s="14" t="str">
        <f>IF(LEN(Table2[[#This Row],[!Name]]) &gt; 0, Table2[[#This Row],[!Name]], "rg:None")</f>
        <v>offer</v>
      </c>
      <c r="V108" s="14" t="str">
        <f>IF(LEN(Table2[[#This Row],[!Description]]) &gt; 0, Table2[[#This Row],[!Description]], "rg:None")</f>
        <v>rg:None</v>
      </c>
      <c r="W108" s="14" t="str">
        <f>IF(LEN(Table2[[#This Row],[!FK]])&gt;0,Table2[[#This Row],[!FK]],"rg:None")</f>
        <v>Offer</v>
      </c>
      <c r="X108" s="14" t="str">
        <f>IF(LEN(concatif2(A:A,Table2[[#This Row],[!Table]],G:G,"Y",D:D,",")) &gt; 0,"rg:[ { 'req' : '"&amp;concatif2(A:A,Table2[[#This Row],[!Table]],G:G,"Y",D:D,"' }, { 'req': '")&amp;"'} ]","rg:[]")</f>
        <v>rg:[ { 'req' : 'id'} ]</v>
      </c>
      <c r="Y108" s="14" t="str">
        <f>IF(LEN(Table2[[#This Row],[!Unique]])&gt;0,IF(Table2[[#This Row],[!Type]] = "id", "rg:None","rg:True"),"rg:None")</f>
        <v>rg:None</v>
      </c>
    </row>
    <row r="109" spans="1:25" s="4" customFormat="1" x14ac:dyDescent="0.35">
      <c r="A109" s="3" t="s">
        <v>0</v>
      </c>
      <c r="B109" s="3" t="s">
        <v>4</v>
      </c>
      <c r="C109" s="3"/>
      <c r="D109" s="3" t="s">
        <v>0</v>
      </c>
      <c r="E109" s="23" t="s">
        <v>71</v>
      </c>
      <c r="F109" s="3" t="s">
        <v>5</v>
      </c>
      <c r="I109" s="5" t="str">
        <f t="shared" si="3"/>
        <v>Defs</v>
      </c>
      <c r="J109" t="str">
        <f>IF(Table2[[#This Row],[!Type]]=J$1, J$1,"rg:None")</f>
        <v>rg:None</v>
      </c>
      <c r="K109" t="str">
        <f>IF(Table2[[#This Row],[!Type]]=K$1, K$1,"rg:None")</f>
        <v>rg:None</v>
      </c>
      <c r="L109" t="str">
        <f>IF(Table2[[#This Row],[!Type]]=L$1, L$1,"rg:None")</f>
        <v>rg:None</v>
      </c>
      <c r="M109" t="str">
        <f>IF(Table2[[#This Row],[!Type]]=M$1, M$1,"rg:None")</f>
        <v>rg:None</v>
      </c>
      <c r="N109" s="9" t="str">
        <f>IF(Table2[[#This Row],[!Type]]=N$1, N$1,"rg:None")</f>
        <v>rg:None</v>
      </c>
      <c r="O109" s="9"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table</v>
      </c>
      <c r="T109" s="9" t="str">
        <f>IF(LEN(Table2[[#This Row],[!Length]]) &gt; 0, Table2[[#This Row],[!Length]], "rg:None")</f>
        <v>rg:None</v>
      </c>
      <c r="U109" s="9" t="str">
        <f>IF(LEN(Table2[[#This Row],[!Name]]) &gt; 0, Table2[[#This Row],[!Name]], "rg:None")</f>
        <v>User</v>
      </c>
      <c r="V109" s="9" t="str">
        <f>IF(LEN(Table2[[#This Row],[!Description]]) &gt; 0, Table2[[#This Row],[!Description]], "rg:None")</f>
        <v>Information about the users of the system.</v>
      </c>
      <c r="W109" s="9" t="str">
        <f>IF(LEN(Table2[[#This Row],[!FK]])&gt;0,Table2[[#This Row],[!FK]],"rg:None")</f>
        <v>rg:None</v>
      </c>
      <c r="X109" s="9" t="str">
        <f>IF(LEN(concatif2(A:A,Table2[[#This Row],[!Table]],G:G,"Y",D:D,",")) &gt; 0,"rg:[ { 'req' : '"&amp;concatif2(A:A,Table2[[#This Row],[!Table]],G:G,"Y",D:D,"' }, { 'req': '")&amp;"'} ]","rg:[]")</f>
        <v>rg:[ { 'req' : 'id' }, { 'req': 'givenName' }, { 'req': 'surname' }, { 'req': 'status'} ]</v>
      </c>
      <c r="Y109" s="9" t="str">
        <f>IF(LEN(Table2[[#This Row],[!Unique]])&gt;0,IF(Table2[[#This Row],[!Type]] = "id", "rg:None","rg:True"),"rg:None")</f>
        <v>rg:None</v>
      </c>
    </row>
    <row r="110" spans="1:25" s="4" customFormat="1" x14ac:dyDescent="0.35">
      <c r="A110" s="3" t="s">
        <v>0</v>
      </c>
      <c r="B110" s="3" t="s">
        <v>6</v>
      </c>
      <c r="C110" s="3"/>
      <c r="D110" s="3" t="s">
        <v>6</v>
      </c>
      <c r="E110" s="23" t="s">
        <v>135</v>
      </c>
      <c r="F110" s="3" t="s">
        <v>5</v>
      </c>
      <c r="G110" s="4" t="s">
        <v>69</v>
      </c>
      <c r="H110" s="32" t="s">
        <v>69</v>
      </c>
      <c r="I110" s="5" t="str">
        <f t="shared" si="3"/>
        <v>Defs</v>
      </c>
      <c r="J110" t="str">
        <f>IF(Table2[[#This Row],[!Type]]=J$1, J$1,"rg:None")</f>
        <v>rg:None</v>
      </c>
      <c r="K110" t="str">
        <f>IF(Table2[[#This Row],[!Type]]=K$1, K$1,"rg:None")</f>
        <v>rg:None</v>
      </c>
      <c r="L110" t="str">
        <f>IF(Table2[[#This Row],[!Type]]=L$1, L$1,"rg:None")</f>
        <v>rg:None</v>
      </c>
      <c r="M110" t="str">
        <f>IF(Table2[[#This Row],[!Type]]=M$1, M$1,"rg:None")</f>
        <v>id</v>
      </c>
      <c r="N110" s="9" t="str">
        <f>IF(Table2[[#This Row],[!Type]]=N$1, N$1,"rg:None")</f>
        <v>rg:None</v>
      </c>
      <c r="O110" s="9" t="str">
        <f>IF(Table2[[#This Row],[!Type]]=O$1, O$1,"rg:None")</f>
        <v>rg:None</v>
      </c>
      <c r="P110" s="5" t="str">
        <f>IF(Table2[[#This Row],[!Type]]=P$1, P$1,"rg:None")</f>
        <v>rg:None</v>
      </c>
      <c r="Q110" s="5" t="str">
        <f>IF(Table2[[#This Row],[!Type]]=Q$1, Q$1,"rg:None")</f>
        <v>rg:None</v>
      </c>
      <c r="R110" s="5" t="str">
        <f>IF(Table2[[#This Row],[!Type]]=R$1, R$1,"rg:None")</f>
        <v>rg:None</v>
      </c>
      <c r="S110" s="5" t="str">
        <f>IF(Table2[[#This Row],[!Type]]=S$1, S$1,"rg:None")</f>
        <v>rg:None</v>
      </c>
      <c r="T110" s="9" t="str">
        <f>IF(LEN(Table2[[#This Row],[!Length]]) &gt; 0, Table2[[#This Row],[!Length]], "rg:None")</f>
        <v>rg:None</v>
      </c>
      <c r="U110" s="9" t="str">
        <f>IF(LEN(Table2[[#This Row],[!Name]]) &gt; 0, Table2[[#This Row],[!Name]], "rg:None")</f>
        <v>id</v>
      </c>
      <c r="V110" s="9" t="str">
        <f>IF(LEN(Table2[[#This Row],[!Description]]) &gt; 0, Table2[[#This Row],[!Description]], "rg:None")</f>
        <v>A system-generated unique identifier for a User</v>
      </c>
      <c r="W110" s="9" t="str">
        <f>IF(LEN(Table2[[#This Row],[!FK]])&gt;0,Table2[[#This Row],[!FK]],"rg:None")</f>
        <v>rg:None</v>
      </c>
      <c r="X110" s="9" t="str">
        <f>IF(LEN(concatif2(A:A,Table2[[#This Row],[!Table]],G:G,"Y",D:D,",")) &gt; 0,"rg:[ { 'req' : '"&amp;concatif2(A:A,Table2[[#This Row],[!Table]],G:G,"Y",D:D,"' }, { 'req': '")&amp;"'} ]","rg:[]")</f>
        <v>rg:[ { 'req' : 'id' }, { 'req': 'givenName' }, { 'req': 'surname' }, { 'req': 'status'} ]</v>
      </c>
      <c r="Y110" s="9" t="str">
        <f>IF(LEN(Table2[[#This Row],[!Unique]])&gt;0,IF(Table2[[#This Row],[!Type]] = "id", "rg:None","rg:True"),"rg:None")</f>
        <v>rg:None</v>
      </c>
    </row>
    <row r="111" spans="1:25" s="4" customFormat="1" x14ac:dyDescent="0.35">
      <c r="A111" s="3" t="s">
        <v>0</v>
      </c>
      <c r="B111" s="3" t="s">
        <v>7</v>
      </c>
      <c r="C111" s="3"/>
      <c r="D111" s="3" t="s">
        <v>21</v>
      </c>
      <c r="E111" s="30" t="s">
        <v>146</v>
      </c>
      <c r="F111" s="3" t="s">
        <v>5</v>
      </c>
      <c r="G111" s="32" t="s">
        <v>69</v>
      </c>
      <c r="I111" s="5" t="str">
        <f t="shared" si="3"/>
        <v>Defs</v>
      </c>
      <c r="J111" t="str">
        <f>IF(Table2[[#This Row],[!Type]]=J$1, J$1,"rg:None")</f>
        <v>rg:None</v>
      </c>
      <c r="K111" t="str">
        <f>IF(Table2[[#This Row],[!Type]]=K$1, K$1,"rg:None")</f>
        <v>rg:None</v>
      </c>
      <c r="L111" t="str">
        <f>IF(Table2[[#This Row],[!Type]]=L$1, L$1,"rg:None")</f>
        <v>rg:None</v>
      </c>
      <c r="M111" t="str">
        <f>IF(Table2[[#This Row],[!Type]]=M$1, M$1,"rg:None")</f>
        <v>rg:None</v>
      </c>
      <c r="N111" s="9" t="str">
        <f>IF(Table2[[#This Row],[!Type]]=N$1, N$1,"rg:None")</f>
        <v>rg:None</v>
      </c>
      <c r="O111" s="9"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9" t="str">
        <f>IF(LEN(Table2[[#This Row],[!Length]]) &gt; 0, Table2[[#This Row],[!Length]], "rg:None")</f>
        <v>rg:None</v>
      </c>
      <c r="U111" s="9" t="str">
        <f>IF(LEN(Table2[[#This Row],[!Name]]) &gt; 0, Table2[[#This Row],[!Name]], "rg:None")</f>
        <v>givenName</v>
      </c>
      <c r="V111" s="9" t="str">
        <f>IF(LEN(Table2[[#This Row],[!Description]]) &gt; 0, Table2[[#This Row],[!Description]], "rg:None")</f>
        <v>Given name of the user.</v>
      </c>
      <c r="W111" s="9" t="str">
        <f>IF(LEN(Table2[[#This Row],[!FK]])&gt;0,Table2[[#This Row],[!FK]],"rg:None")</f>
        <v>rg:None</v>
      </c>
      <c r="X111" s="9" t="str">
        <f>IF(LEN(concatif2(A:A,Table2[[#This Row],[!Table]],G:G,"Y",D:D,",")) &gt; 0,"rg:[ { 'req' : '"&amp;concatif2(A:A,Table2[[#This Row],[!Table]],G:G,"Y",D:D,"' }, { 'req': '")&amp;"'} ]","rg:[]")</f>
        <v>rg:[ { 'req' : 'id' }, { 'req': 'givenName' }, { 'req': 'surname' }, { 'req': 'status'} ]</v>
      </c>
      <c r="Y111" s="9" t="str">
        <f>IF(LEN(Table2[[#This Row],[!Unique]])&gt;0,IF(Table2[[#This Row],[!Type]] = "id", "rg:None","rg:True"),"rg:None")</f>
        <v>rg:None</v>
      </c>
    </row>
    <row r="112" spans="1:25" s="4" customFormat="1" x14ac:dyDescent="0.35">
      <c r="A112" s="3" t="s">
        <v>0</v>
      </c>
      <c r="B112" s="3" t="s">
        <v>7</v>
      </c>
      <c r="C112" s="3"/>
      <c r="D112" s="3" t="s">
        <v>23</v>
      </c>
      <c r="E112" s="30" t="s">
        <v>145</v>
      </c>
      <c r="F112" s="3" t="s">
        <v>5</v>
      </c>
      <c r="G112" s="32" t="s">
        <v>69</v>
      </c>
      <c r="I112" s="5" t="str">
        <f t="shared" ref="I112:I147" si="6">IF(LEN(A112) &gt; 0,"Defs","-")</f>
        <v>Defs</v>
      </c>
      <c r="J112" t="str">
        <f>IF(Table2[[#This Row],[!Type]]=J$1, J$1,"rg:None")</f>
        <v>rg:None</v>
      </c>
      <c r="K112" t="str">
        <f>IF(Table2[[#This Row],[!Type]]=K$1, K$1,"rg:None")</f>
        <v>rg:None</v>
      </c>
      <c r="L112" t="str">
        <f>IF(Table2[[#This Row],[!Type]]=L$1, L$1,"rg:None")</f>
        <v>rg:None</v>
      </c>
      <c r="M112" t="str">
        <f>IF(Table2[[#This Row],[!Type]]=M$1, M$1,"rg:None")</f>
        <v>rg:None</v>
      </c>
      <c r="N112" s="9" t="str">
        <f>IF(Table2[[#This Row],[!Type]]=N$1, N$1,"rg:None")</f>
        <v>rg:None</v>
      </c>
      <c r="O112" s="9"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9" t="str">
        <f>IF(LEN(Table2[[#This Row],[!Length]]) &gt; 0, Table2[[#This Row],[!Length]], "rg:None")</f>
        <v>rg:None</v>
      </c>
      <c r="U112" s="9" t="str">
        <f>IF(LEN(Table2[[#This Row],[!Name]]) &gt; 0, Table2[[#This Row],[!Name]], "rg:None")</f>
        <v>surname</v>
      </c>
      <c r="V112" s="9" t="str">
        <f>IF(LEN(Table2[[#This Row],[!Description]]) &gt; 0, Table2[[#This Row],[!Description]], "rg:None")</f>
        <v>Surname of the user.</v>
      </c>
      <c r="W112" s="9" t="str">
        <f>IF(LEN(Table2[[#This Row],[!FK]])&gt;0,Table2[[#This Row],[!FK]],"rg:None")</f>
        <v>rg:None</v>
      </c>
      <c r="X112" s="9" t="str">
        <f>IF(LEN(concatif2(A:A,Table2[[#This Row],[!Table]],G:G,"Y",D:D,",")) &gt; 0,"rg:[ { 'req' : '"&amp;concatif2(A:A,Table2[[#This Row],[!Table]],G:G,"Y",D:D,"' }, { 'req': '")&amp;"'} ]","rg:[]")</f>
        <v>rg:[ { 'req' : 'id' }, { 'req': 'givenName' }, { 'req': 'surname' }, { 'req': 'status'} ]</v>
      </c>
      <c r="Y112" s="9" t="str">
        <f>IF(LEN(Table2[[#This Row],[!Unique]])&gt;0,IF(Table2[[#This Row],[!Type]] = "id", "rg:None","rg:True"),"rg:None")</f>
        <v>rg:None</v>
      </c>
    </row>
    <row r="113" spans="1:25" s="4" customFormat="1" x14ac:dyDescent="0.35">
      <c r="A113" s="3" t="s">
        <v>0</v>
      </c>
      <c r="B113" s="3" t="s">
        <v>7</v>
      </c>
      <c r="C113" s="3"/>
      <c r="D113" s="3" t="s">
        <v>52</v>
      </c>
      <c r="E113" s="30" t="s">
        <v>147</v>
      </c>
      <c r="F113" s="3" t="s">
        <v>5</v>
      </c>
      <c r="I113" s="5" t="str">
        <f t="shared" si="6"/>
        <v>Defs</v>
      </c>
      <c r="J113" t="str">
        <f>IF(Table2[[#This Row],[!Type]]=J$1, J$1,"rg:None")</f>
        <v>rg:None</v>
      </c>
      <c r="K113" t="str">
        <f>IF(Table2[[#This Row],[!Type]]=K$1, K$1,"rg:None")</f>
        <v>rg:None</v>
      </c>
      <c r="L113" t="str">
        <f>IF(Table2[[#This Row],[!Type]]=L$1, L$1,"rg:None")</f>
        <v>rg:None</v>
      </c>
      <c r="M113" t="str">
        <f>IF(Table2[[#This Row],[!Type]]=M$1, M$1,"rg:None")</f>
        <v>rg:None</v>
      </c>
      <c r="N113" s="9" t="str">
        <f>IF(Table2[[#This Row],[!Type]]=N$1, N$1,"rg:None")</f>
        <v>rg:None</v>
      </c>
      <c r="O113" s="9"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9" t="str">
        <f>IF(LEN(Table2[[#This Row],[!Length]]) &gt; 0, Table2[[#This Row],[!Length]], "rg:None")</f>
        <v>rg:None</v>
      </c>
      <c r="U113" s="9" t="str">
        <f>IF(LEN(Table2[[#This Row],[!Name]]) &gt; 0, Table2[[#This Row],[!Name]], "rg:None")</f>
        <v>initials</v>
      </c>
      <c r="V113" s="9" t="str">
        <f>IF(LEN(Table2[[#This Row],[!Description]]) &gt; 0, Table2[[#This Row],[!Description]], "rg:None")</f>
        <v>Initials of the user, to be presented where screen space is at a premium.</v>
      </c>
      <c r="W113" s="9" t="str">
        <f>IF(LEN(Table2[[#This Row],[!FK]])&gt;0,Table2[[#This Row],[!FK]],"rg:None")</f>
        <v>rg:None</v>
      </c>
      <c r="X113" s="9" t="str">
        <f>IF(LEN(concatif2(A:A,Table2[[#This Row],[!Table]],G:G,"Y",D:D,",")) &gt; 0,"rg:[ { 'req' : '"&amp;concatif2(A:A,Table2[[#This Row],[!Table]],G:G,"Y",D:D,"' }, { 'req': '")&amp;"'} ]","rg:[]")</f>
        <v>rg:[ { 'req' : 'id' }, { 'req': 'givenName' }, { 'req': 'surname' }, { 'req': 'status'} ]</v>
      </c>
      <c r="Y113" s="9" t="str">
        <f>IF(LEN(Table2[[#This Row],[!Unique]])&gt;0,IF(Table2[[#This Row],[!Type]] = "id", "rg:None","rg:True"),"rg:None")</f>
        <v>rg:None</v>
      </c>
    </row>
    <row r="114" spans="1:25" s="4" customFormat="1" x14ac:dyDescent="0.35">
      <c r="A114" s="3" t="s">
        <v>0</v>
      </c>
      <c r="B114" s="3" t="s">
        <v>7</v>
      </c>
      <c r="C114" s="3"/>
      <c r="D114" s="3" t="s">
        <v>53</v>
      </c>
      <c r="E114" s="30" t="s">
        <v>148</v>
      </c>
      <c r="F114" s="3" t="s">
        <v>5</v>
      </c>
      <c r="I114" s="5" t="str">
        <f t="shared" si="6"/>
        <v>Defs</v>
      </c>
      <c r="J114" t="str">
        <f>IF(Table2[[#This Row],[!Type]]=J$1, J$1,"rg:None")</f>
        <v>rg:None</v>
      </c>
      <c r="K114" t="str">
        <f>IF(Table2[[#This Row],[!Type]]=K$1, K$1,"rg:None")</f>
        <v>rg:None</v>
      </c>
      <c r="L114" t="str">
        <f>IF(Table2[[#This Row],[!Type]]=L$1, L$1,"rg:None")</f>
        <v>rg:None</v>
      </c>
      <c r="M114" t="str">
        <f>IF(Table2[[#This Row],[!Type]]=M$1, M$1,"rg:None")</f>
        <v>rg:None</v>
      </c>
      <c r="N114" s="9" t="str">
        <f>IF(Table2[[#This Row],[!Type]]=N$1, N$1,"rg:None")</f>
        <v>rg:None</v>
      </c>
      <c r="O114" s="9"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9" t="str">
        <f>IF(LEN(Table2[[#This Row],[!Length]]) &gt; 0, Table2[[#This Row],[!Length]], "rg:None")</f>
        <v>rg:None</v>
      </c>
      <c r="U114" s="9" t="str">
        <f>IF(LEN(Table2[[#This Row],[!Name]]) &gt; 0, Table2[[#This Row],[!Name]], "rg:None")</f>
        <v>email</v>
      </c>
      <c r="V114" s="9" t="str">
        <f>IF(LEN(Table2[[#This Row],[!Description]]) &gt; 0, Table2[[#This Row],[!Description]], "rg:None")</f>
        <v>The email address of the user in the system.</v>
      </c>
      <c r="W114" s="9" t="str">
        <f>IF(LEN(Table2[[#This Row],[!FK]])&gt;0,Table2[[#This Row],[!FK]],"rg:None")</f>
        <v>rg:None</v>
      </c>
      <c r="X114" s="9" t="str">
        <f>IF(LEN(concatif2(A:A,Table2[[#This Row],[!Table]],G:G,"Y",D:D,",")) &gt; 0,"rg:[ { 'req' : '"&amp;concatif2(A:A,Table2[[#This Row],[!Table]],G:G,"Y",D:D,"' }, { 'req': '")&amp;"'} ]","rg:[]")</f>
        <v>rg:[ { 'req' : 'id' }, { 'req': 'givenName' }, { 'req': 'surname' }, { 'req': 'status'} ]</v>
      </c>
      <c r="Y114" s="9" t="str">
        <f>IF(LEN(Table2[[#This Row],[!Unique]])&gt;0,IF(Table2[[#This Row],[!Type]] = "id", "rg:None","rg:True"),"rg:None")</f>
        <v>rg:None</v>
      </c>
    </row>
    <row r="115" spans="1:25" s="4" customFormat="1" x14ac:dyDescent="0.35">
      <c r="A115" s="3" t="s">
        <v>0</v>
      </c>
      <c r="B115" s="47" t="s">
        <v>7</v>
      </c>
      <c r="C115" s="3"/>
      <c r="D115" s="47" t="s">
        <v>9</v>
      </c>
      <c r="E115" s="48" t="s">
        <v>248</v>
      </c>
      <c r="F115" s="3" t="s">
        <v>5</v>
      </c>
      <c r="G115" s="4" t="s">
        <v>69</v>
      </c>
      <c r="I115" s="5" t="str">
        <f t="shared" si="6"/>
        <v>Defs</v>
      </c>
      <c r="J115" t="str">
        <f>IF(Table2[[#This Row],[!Type]]=J$1, J$1,"rg:None")</f>
        <v>rg:None</v>
      </c>
      <c r="K115" t="str">
        <f>IF(Table2[[#This Row],[!Type]]=K$1, K$1,"rg:None")</f>
        <v>rg:None</v>
      </c>
      <c r="L115" t="str">
        <f>IF(Table2[[#This Row],[!Type]]=L$1, L$1,"rg:None")</f>
        <v>rg:None</v>
      </c>
      <c r="M115" t="str">
        <f>IF(Table2[[#This Row],[!Type]]=M$1, M$1,"rg:None")</f>
        <v>rg:None</v>
      </c>
      <c r="N115" s="9" t="str">
        <f>IF(Table2[[#This Row],[!Type]]=N$1, N$1,"rg:None")</f>
        <v>rg:None</v>
      </c>
      <c r="O115" s="9"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9" t="str">
        <f>IF(LEN(Table2[[#This Row],[!Length]]) &gt; 0, Table2[[#This Row],[!Length]], "rg:None")</f>
        <v>rg:None</v>
      </c>
      <c r="U115" s="9" t="str">
        <f>IF(LEN(Table2[[#This Row],[!Name]]) &gt; 0, Table2[[#This Row],[!Name]], "rg:None")</f>
        <v>status</v>
      </c>
      <c r="V115" s="9" t="str">
        <f>IF(LEN(Table2[[#This Row],[!Description]]) &gt; 0, Table2[[#This Row],[!Description]], "rg:None")</f>
        <v>The status of the user in the system. Only a status of "Active" allows the user access to the system.</v>
      </c>
      <c r="W115" s="9" t="str">
        <f>IF(LEN(Table2[[#This Row],[!FK]])&gt;0,Table2[[#This Row],[!FK]],"rg:None")</f>
        <v>rg:None</v>
      </c>
      <c r="X115" s="9" t="str">
        <f>IF(LEN(concatif2(A:A,Table2[[#This Row],[!Table]],G:G,"Y",D:D,",")) &gt; 0,"rg:[ { 'req' : '"&amp;concatif2(A:A,Table2[[#This Row],[!Table]],G:G,"Y",D:D,"' }, { 'req': '")&amp;"'} ]","rg:[]")</f>
        <v>rg:[ { 'req' : 'id' }, { 'req': 'givenName' }, { 'req': 'surname' }, { 'req': 'status'} ]</v>
      </c>
      <c r="Y115" s="9" t="str">
        <f>IF(LEN(Table2[[#This Row],[!Unique]])&gt;0,IF(Table2[[#This Row],[!Type]] = "id", "rg:None","rg:True"),"rg:None")</f>
        <v>rg:None</v>
      </c>
    </row>
    <row r="116" spans="1:25" s="4" customFormat="1" x14ac:dyDescent="0.35">
      <c r="A116" s="49" t="s">
        <v>0</v>
      </c>
      <c r="B116" s="49" t="s">
        <v>8</v>
      </c>
      <c r="C116" s="3"/>
      <c r="D116" s="49" t="s">
        <v>222</v>
      </c>
      <c r="E116" s="31"/>
      <c r="F116" s="52" t="s">
        <v>227</v>
      </c>
      <c r="G116" s="16"/>
      <c r="H116" s="16"/>
      <c r="I116" s="4" t="str">
        <f>IF(LEN(A116) &gt; 0,"Defs","-")</f>
        <v>Defs</v>
      </c>
      <c r="J116" s="14" t="str">
        <f>IF(Table2[[#This Row],[!Type]]=J$1, J$1,"rg:None")</f>
        <v>rg:None</v>
      </c>
      <c r="K116" s="27" t="str">
        <f>IF(Table2[[#This Row],[!Type]]=K$1, K$1,"rg:None")</f>
        <v>rg:None</v>
      </c>
      <c r="L116" s="14" t="str">
        <f>IF(Table2[[#This Row],[!Type]]=L$1, L$1,"rg:None")</f>
        <v>rg:None</v>
      </c>
      <c r="M116" s="14" t="str">
        <f>IF(Table2[[#This Row],[!Type]]=M$1, M$1,"rg:None")</f>
        <v>rg:None</v>
      </c>
      <c r="N116" s="14" t="str">
        <f>IF(Table2[[#This Row],[!Type]]=N$1, N$1,"rg:None")</f>
        <v>rg:None</v>
      </c>
      <c r="O116" s="14" t="str">
        <f>IF(Table2[[#This Row],[!Type]]=O$1, O$1,"rg:None")</f>
        <v>rg:None</v>
      </c>
      <c r="P116" s="4" t="str">
        <f>IF(Table2[[#This Row],[!Type]]=P$1, P$1,"rg:None")</f>
        <v>rg:None</v>
      </c>
      <c r="Q116" s="4" t="str">
        <f>IF(Table2[[#This Row],[!Type]]=Q$1, Q$1,"rg:None")</f>
        <v>ref</v>
      </c>
      <c r="R116" s="4" t="str">
        <f>IF(Table2[[#This Row],[!Type]]=R$1, R$1,"rg:None")</f>
        <v>rg:None</v>
      </c>
      <c r="S116" s="4" t="str">
        <f>IF(Table2[[#This Row],[!Type]]=S$1, S$1,"rg:None")</f>
        <v>rg:None</v>
      </c>
      <c r="T116" s="14" t="str">
        <f>IF(LEN(Table2[[#This Row],[!Length]]) &gt; 0, Table2[[#This Row],[!Length]], "rg:None")</f>
        <v>rg:None</v>
      </c>
      <c r="U116" s="14" t="str">
        <f>IF(LEN(Table2[[#This Row],[!Name]]) &gt; 0, Table2[[#This Row],[!Name]], "rg:None")</f>
        <v>fuelSupplier</v>
      </c>
      <c r="V116" s="14" t="str">
        <f>IF(LEN(Table2[[#This Row],[!Description]]) &gt; 0, Table2[[#This Row],[!Description]], "rg:None")</f>
        <v>rg:None</v>
      </c>
      <c r="W116" s="14" t="str">
        <f>IF(LEN(Table2[[#This Row],[!FK]])&gt;0,Table2[[#This Row],[!FK]],"rg:None")</f>
        <v>FuelSupplier</v>
      </c>
      <c r="X116" s="14" t="str">
        <f>IF(LEN(concatif2(A:A,Table2[[#This Row],[!Table]],G:G,"Y",D:D,",")) &gt; 0,"rg:[ { 'req' : '"&amp;concatif2(A:A,Table2[[#This Row],[!Table]],G:G,"Y",D:D,"' }, { 'req': '")&amp;"'} ]","rg:[]")</f>
        <v>rg:[ { 'req' : 'id' }, { 'req': 'givenName' }, { 'req': 'surname' }, { 'req': 'status'} ]</v>
      </c>
      <c r="Y116" s="14" t="str">
        <f>IF(LEN(Table2[[#This Row],[!Unique]])&gt;0,IF(Table2[[#This Row],[!Type]] = "id", "rg:None","rg:True"),"rg:None")</f>
        <v>rg:None</v>
      </c>
    </row>
    <row r="117" spans="1:25" s="4" customFormat="1" x14ac:dyDescent="0.35">
      <c r="A117" s="3" t="s">
        <v>0</v>
      </c>
      <c r="B117" s="3" t="s">
        <v>7</v>
      </c>
      <c r="C117" s="3"/>
      <c r="D117" s="3" t="s">
        <v>54</v>
      </c>
      <c r="E117" s="23" t="s">
        <v>55</v>
      </c>
      <c r="F117" s="3" t="s">
        <v>5</v>
      </c>
      <c r="I117" s="5" t="str">
        <f t="shared" si="6"/>
        <v>Defs</v>
      </c>
      <c r="J117" t="str">
        <f>IF(Table2[[#This Row],[!Type]]=J$1, J$1,"rg:None")</f>
        <v>rg:None</v>
      </c>
      <c r="K117" t="str">
        <f>IF(Table2[[#This Row],[!Type]]=K$1, K$1,"rg:None")</f>
        <v>rg:None</v>
      </c>
      <c r="L117" t="str">
        <f>IF(Table2[[#This Row],[!Type]]=L$1, L$1,"rg:None")</f>
        <v>rg:None</v>
      </c>
      <c r="M117" t="str">
        <f>IF(Table2[[#This Row],[!Type]]=M$1, M$1,"rg:None")</f>
        <v>rg:None</v>
      </c>
      <c r="N117" s="9" t="str">
        <f>IF(Table2[[#This Row],[!Type]]=N$1, N$1,"rg:None")</f>
        <v>rg:None</v>
      </c>
      <c r="O117" s="9"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9" t="str">
        <f>IF(LEN(Table2[[#This Row],[!Length]]) &gt; 0, Table2[[#This Row],[!Length]], "rg:None")</f>
        <v>rg:None</v>
      </c>
      <c r="U117" s="9" t="str">
        <f>IF(LEN(Table2[[#This Row],[!Name]]) &gt; 0, Table2[[#This Row],[!Name]], "rg:None")</f>
        <v>smUserId</v>
      </c>
      <c r="V117" s="9" t="str">
        <f>IF(LEN(Table2[[#This Row],[!Description]]) &gt; 0, Table2[[#This Row],[!Description]], "rg:None")</f>
        <v>Security Manager User ID</v>
      </c>
      <c r="W117" s="9" t="str">
        <f>IF(LEN(Table2[[#This Row],[!FK]])&gt;0,Table2[[#This Row],[!FK]],"rg:None")</f>
        <v>rg:None</v>
      </c>
      <c r="X117" s="9" t="str">
        <f>IF(LEN(concatif2(A:A,Table2[[#This Row],[!Table]],G:G,"Y",D:D,",")) &gt; 0,"rg:[ { 'req' : '"&amp;concatif2(A:A,Table2[[#This Row],[!Table]],G:G,"Y",D:D,"' }, { 'req': '")&amp;"'} ]","rg:[]")</f>
        <v>rg:[ { 'req' : 'id' }, { 'req': 'givenName' }, { 'req': 'surname' }, { 'req': 'status'} ]</v>
      </c>
      <c r="Y117" s="9" t="str">
        <f>IF(LEN(Table2[[#This Row],[!Unique]])&gt;0,IF(Table2[[#This Row],[!Type]] = "id", "rg:None","rg:True"),"rg:None")</f>
        <v>rg:None</v>
      </c>
    </row>
    <row r="118" spans="1:25" s="4" customFormat="1" x14ac:dyDescent="0.35">
      <c r="A118" s="3" t="s">
        <v>0</v>
      </c>
      <c r="B118" s="3" t="s">
        <v>7</v>
      </c>
      <c r="C118" s="3"/>
      <c r="D118" s="3" t="s">
        <v>56</v>
      </c>
      <c r="E118" s="30" t="s">
        <v>150</v>
      </c>
      <c r="F118" s="3" t="s">
        <v>5</v>
      </c>
      <c r="I118" s="5" t="str">
        <f t="shared" si="6"/>
        <v>Defs</v>
      </c>
      <c r="J118" t="str">
        <f>IF(Table2[[#This Row],[!Type]]=J$1, J$1,"rg:None")</f>
        <v>rg:None</v>
      </c>
      <c r="K118" t="str">
        <f>IF(Table2[[#This Row],[!Type]]=K$1, K$1,"rg:None")</f>
        <v>rg:None</v>
      </c>
      <c r="L118" t="str">
        <f>IF(Table2[[#This Row],[!Type]]=L$1, L$1,"rg:None")</f>
        <v>rg:None</v>
      </c>
      <c r="M118" t="str">
        <f>IF(Table2[[#This Row],[!Type]]=M$1, M$1,"rg:None")</f>
        <v>rg:None</v>
      </c>
      <c r="N118" s="9" t="str">
        <f>IF(Table2[[#This Row],[!Type]]=N$1, N$1,"rg:None")</f>
        <v>rg:None</v>
      </c>
      <c r="O118" s="9"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9" t="str">
        <f>IF(LEN(Table2[[#This Row],[!Length]]) &gt; 0, Table2[[#This Row],[!Length]], "rg:None")</f>
        <v>rg:None</v>
      </c>
      <c r="U118" s="9" t="str">
        <f>IF(LEN(Table2[[#This Row],[!Name]]) &gt; 0, Table2[[#This Row],[!Name]], "rg:None")</f>
        <v>guid</v>
      </c>
      <c r="V118"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18" s="9" t="str">
        <f>IF(LEN(Table2[[#This Row],[!FK]])&gt;0,Table2[[#This Row],[!FK]],"rg:None")</f>
        <v>rg:None</v>
      </c>
      <c r="X118" s="9" t="str">
        <f>IF(LEN(concatif2(A:A,Table2[[#This Row],[!Table]],G:G,"Y",D:D,",")) &gt; 0,"rg:[ { 'req' : '"&amp;concatif2(A:A,Table2[[#This Row],[!Table]],G:G,"Y",D:D,"' }, { 'req': '")&amp;"'} ]","rg:[]")</f>
        <v>rg:[ { 'req' : 'id' }, { 'req': 'givenName' }, { 'req': 'surname' }, { 'req': 'status'} ]</v>
      </c>
      <c r="Y118" s="9" t="str">
        <f>IF(LEN(Table2[[#This Row],[!Unique]])&gt;0,IF(Table2[[#This Row],[!Type]] = "id", "rg:None","rg:True"),"rg:None")</f>
        <v>rg:None</v>
      </c>
    </row>
    <row r="119" spans="1:25" s="4" customFormat="1" x14ac:dyDescent="0.35">
      <c r="A119" s="3" t="s">
        <v>0</v>
      </c>
      <c r="B119" s="3" t="s">
        <v>7</v>
      </c>
      <c r="C119" s="3"/>
      <c r="D119" s="3" t="s">
        <v>57</v>
      </c>
      <c r="E119" s="30" t="s">
        <v>151</v>
      </c>
      <c r="F119" s="3" t="s">
        <v>5</v>
      </c>
      <c r="I119" s="5" t="str">
        <f t="shared" si="6"/>
        <v>Defs</v>
      </c>
      <c r="J119" t="str">
        <f>IF(Table2[[#This Row],[!Type]]=J$1, J$1,"rg:None")</f>
        <v>rg:None</v>
      </c>
      <c r="K119" t="str">
        <f>IF(Table2[[#This Row],[!Type]]=K$1, K$1,"rg:None")</f>
        <v>rg:None</v>
      </c>
      <c r="L119" t="str">
        <f>IF(Table2[[#This Row],[!Type]]=L$1, L$1,"rg:None")</f>
        <v>rg:None</v>
      </c>
      <c r="M119" t="str">
        <f>IF(Table2[[#This Row],[!Type]]=M$1, M$1,"rg:None")</f>
        <v>rg:None</v>
      </c>
      <c r="N119" s="9" t="str">
        <f>IF(Table2[[#This Row],[!Type]]=N$1, N$1,"rg:None")</f>
        <v>rg:None</v>
      </c>
      <c r="O119" s="9"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9" t="str">
        <f>IF(LEN(Table2[[#This Row],[!Length]]) &gt; 0, Table2[[#This Row],[!Length]], "rg:None")</f>
        <v>rg:None</v>
      </c>
      <c r="U119" s="9" t="str">
        <f>IF(LEN(Table2[[#This Row],[!Name]]) &gt; 0, Table2[[#This Row],[!Name]], "rg:None")</f>
        <v>smAuthorizationDirectory</v>
      </c>
      <c r="V119" s="9" t="str">
        <f>IF(LEN(Table2[[#This Row],[!Description]]) &gt; 0, Table2[[#This Row],[!Description]], "rg:None")</f>
        <v>The user directory service used by Siteminder to authenticate the user - usually IDIR or BCeID.</v>
      </c>
      <c r="W119" s="9" t="str">
        <f>IF(LEN(Table2[[#This Row],[!FK]])&gt;0,Table2[[#This Row],[!FK]],"rg:None")</f>
        <v>rg:None</v>
      </c>
      <c r="X119" s="9" t="str">
        <f>IF(LEN(concatif2(A:A,Table2[[#This Row],[!Table]],G:G,"Y",D:D,",")) &gt; 0,"rg:[ { 'req' : '"&amp;concatif2(A:A,Table2[[#This Row],[!Table]],G:G,"Y",D:D,"' }, { 'req': '")&amp;"'} ]","rg:[]")</f>
        <v>rg:[ { 'req' : 'id' }, { 'req': 'givenName' }, { 'req': 'surname' }, { 'req': 'status'} ]</v>
      </c>
      <c r="Y119" s="9" t="str">
        <f>IF(LEN(Table2[[#This Row],[!Unique]])&gt;0,IF(Table2[[#This Row],[!Type]] = "id", "rg:None","rg:True"),"rg:None")</f>
        <v>rg:None</v>
      </c>
    </row>
    <row r="120" spans="1:25" s="4" customFormat="1" x14ac:dyDescent="0.35">
      <c r="A120" s="3" t="s">
        <v>58</v>
      </c>
      <c r="B120" s="3" t="s">
        <v>4</v>
      </c>
      <c r="C120" s="3"/>
      <c r="D120" s="3" t="s">
        <v>58</v>
      </c>
      <c r="E120" s="30" t="s">
        <v>158</v>
      </c>
      <c r="F120" s="3" t="s">
        <v>5</v>
      </c>
      <c r="I120" s="5" t="str">
        <f t="shared" si="6"/>
        <v>Defs</v>
      </c>
      <c r="J120" t="str">
        <f>IF(Table2[[#This Row],[!Type]]=J$1, J$1,"rg:None")</f>
        <v>rg:None</v>
      </c>
      <c r="K120" t="str">
        <f>IF(Table2[[#This Row],[!Type]]=K$1, K$1,"rg:None")</f>
        <v>rg:None</v>
      </c>
      <c r="L120" t="str">
        <f>IF(Table2[[#This Row],[!Type]]=L$1, L$1,"rg:None")</f>
        <v>rg:None</v>
      </c>
      <c r="M120" t="str">
        <f>IF(Table2[[#This Row],[!Type]]=M$1, M$1,"rg:None")</f>
        <v>rg:None</v>
      </c>
      <c r="N120" s="9" t="str">
        <f>IF(Table2[[#This Row],[!Type]]=N$1, N$1,"rg:None")</f>
        <v>rg:None</v>
      </c>
      <c r="O120" s="9"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table</v>
      </c>
      <c r="T120" s="9" t="str">
        <f>IF(LEN(Table2[[#This Row],[!Length]]) &gt; 0, Table2[[#This Row],[!Length]], "rg:None")</f>
        <v>rg:None</v>
      </c>
      <c r="U120" s="9" t="str">
        <f>IF(LEN(Table2[[#This Row],[!Name]]) &gt; 0, Table2[[#This Row],[!Name]], "rg:None")</f>
        <v>UserRole</v>
      </c>
      <c r="V12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20" s="9" t="str">
        <f>IF(LEN(Table2[[#This Row],[!FK]])&gt;0,Table2[[#This Row],[!FK]],"rg:None")</f>
        <v>rg:None</v>
      </c>
      <c r="X120" s="9" t="str">
        <f>IF(LEN(concatif2(A:A,Table2[[#This Row],[!Table]],G:G,"Y",D:D,",")) &gt; 0,"rg:[ { 'req' : '"&amp;concatif2(A:A,Table2[[#This Row],[!Table]],G:G,"Y",D:D,"' }, { 'req': '")&amp;"'} ]","rg:[]")</f>
        <v>rg:[ { 'req' : 'id' }, { 'req': 'effectiveDate' }, { 'req': 'user' }, { 'req': 'role'} ]</v>
      </c>
      <c r="Y120" s="9" t="str">
        <f>IF(LEN(Table2[[#This Row],[!Unique]])&gt;0,IF(Table2[[#This Row],[!Type]] = "id", "rg:None","rg:True"),"rg:None")</f>
        <v>rg:None</v>
      </c>
    </row>
    <row r="121" spans="1:25" s="4" customFormat="1" x14ac:dyDescent="0.35">
      <c r="A121" s="3" t="s">
        <v>58</v>
      </c>
      <c r="B121" s="3" t="s">
        <v>6</v>
      </c>
      <c r="C121" s="3"/>
      <c r="D121" s="3" t="s">
        <v>6</v>
      </c>
      <c r="E121" s="23" t="s">
        <v>136</v>
      </c>
      <c r="F121" s="3" t="s">
        <v>5</v>
      </c>
      <c r="G121" s="4" t="s">
        <v>69</v>
      </c>
      <c r="H121" s="50" t="s">
        <v>69</v>
      </c>
      <c r="I121" s="5" t="str">
        <f t="shared" si="6"/>
        <v>Defs</v>
      </c>
      <c r="J121" t="str">
        <f>IF(Table2[[#This Row],[!Type]]=J$1, J$1,"rg:None")</f>
        <v>rg:None</v>
      </c>
      <c r="K121" t="str">
        <f>IF(Table2[[#This Row],[!Type]]=K$1, K$1,"rg:None")</f>
        <v>rg:None</v>
      </c>
      <c r="L121" t="str">
        <f>IF(Table2[[#This Row],[!Type]]=L$1, L$1,"rg:None")</f>
        <v>rg:None</v>
      </c>
      <c r="M121" t="str">
        <f>IF(Table2[[#This Row],[!Type]]=M$1, M$1,"rg:None")</f>
        <v>id</v>
      </c>
      <c r="N121" s="9" t="str">
        <f>IF(Table2[[#This Row],[!Type]]=N$1, N$1,"rg:None")</f>
        <v>rg:None</v>
      </c>
      <c r="O121" s="9"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9" t="str">
        <f>IF(LEN(Table2[[#This Row],[!Length]]) &gt; 0, Table2[[#This Row],[!Length]], "rg:None")</f>
        <v>rg:None</v>
      </c>
      <c r="U121" s="9" t="str">
        <f>IF(LEN(Table2[[#This Row],[!Name]]) &gt; 0, Table2[[#This Row],[!Name]], "rg:None")</f>
        <v>id</v>
      </c>
      <c r="V121" s="9" t="str">
        <f>IF(LEN(Table2[[#This Row],[!Description]]) &gt; 0, Table2[[#This Row],[!Description]], "rg:None")</f>
        <v>A system-generated unique identifier for a UserRole</v>
      </c>
      <c r="W121" s="9" t="str">
        <f>IF(LEN(Table2[[#This Row],[!FK]])&gt;0,Table2[[#This Row],[!FK]],"rg:None")</f>
        <v>rg:None</v>
      </c>
      <c r="X121" s="9" t="str">
        <f>IF(LEN(concatif2(A:A,Table2[[#This Row],[!Table]],G:G,"Y",D:D,",")) &gt; 0,"rg:[ { 'req' : '"&amp;concatif2(A:A,Table2[[#This Row],[!Table]],G:G,"Y",D:D,"' }, { 'req': '")&amp;"'} ]","rg:[]")</f>
        <v>rg:[ { 'req' : 'id' }, { 'req': 'effectiveDate' }, { 'req': 'user' }, { 'req': 'role'} ]</v>
      </c>
      <c r="Y121" s="9" t="str">
        <f>IF(LEN(Table2[[#This Row],[!Unique]])&gt;0,IF(Table2[[#This Row],[!Type]] = "id", "rg:None","rg:True"),"rg:None")</f>
        <v>rg:None</v>
      </c>
    </row>
    <row r="122" spans="1:25" s="4" customFormat="1" x14ac:dyDescent="0.35">
      <c r="A122" s="59" t="s">
        <v>58</v>
      </c>
      <c r="B122" s="3" t="s">
        <v>11</v>
      </c>
      <c r="C122" s="3"/>
      <c r="D122" s="3" t="s">
        <v>59</v>
      </c>
      <c r="E122" s="30" t="s">
        <v>152</v>
      </c>
      <c r="F122" s="3" t="s">
        <v>5</v>
      </c>
      <c r="G122" s="4" t="s">
        <v>69</v>
      </c>
      <c r="I122" s="5" t="str">
        <f t="shared" si="6"/>
        <v>Defs</v>
      </c>
      <c r="J122" t="str">
        <f>IF(Table2[[#This Row],[!Type]]=J$1, J$1,"rg:None")</f>
        <v>rg:None</v>
      </c>
      <c r="K122" t="str">
        <f>IF(Table2[[#This Row],[!Type]]=K$1, K$1,"rg:None")</f>
        <v>rg:None</v>
      </c>
      <c r="L122" t="str">
        <f>IF(Table2[[#This Row],[!Type]]=L$1, L$1,"rg:None")</f>
        <v>datetime</v>
      </c>
      <c r="M122" t="str">
        <f>IF(Table2[[#This Row],[!Type]]=M$1, M$1,"rg:None")</f>
        <v>rg:None</v>
      </c>
      <c r="N122" s="9" t="str">
        <f>IF(Table2[[#This Row],[!Type]]=N$1, N$1,"rg:None")</f>
        <v>rg:None</v>
      </c>
      <c r="O122" s="9"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9" t="str">
        <f>IF(LEN(Table2[[#This Row],[!Length]]) &gt; 0, Table2[[#This Row],[!Length]], "rg:None")</f>
        <v>rg:None</v>
      </c>
      <c r="U122" s="9" t="str">
        <f>IF(LEN(Table2[[#This Row],[!Name]]) &gt; 0, Table2[[#This Row],[!Name]], "rg:None")</f>
        <v>effectiveDate</v>
      </c>
      <c r="V122" s="9" t="str">
        <f>IF(LEN(Table2[[#This Row],[!Description]]) &gt; 0, Table2[[#This Row],[!Description]], "rg:None")</f>
        <v>The date on which the user was given the related role.</v>
      </c>
      <c r="W122" s="9" t="str">
        <f>IF(LEN(Table2[[#This Row],[!FK]])&gt;0,Table2[[#This Row],[!FK]],"rg:None")</f>
        <v>rg:None</v>
      </c>
      <c r="X122" s="9" t="str">
        <f>IF(LEN(concatif2(A:A,Table2[[#This Row],[!Table]],G:G,"Y",D:D,",")) &gt; 0,"rg:[ { 'req' : '"&amp;concatif2(A:A,Table2[[#This Row],[!Table]],G:G,"Y",D:D,"' }, { 'req': '")&amp;"'} ]","rg:[]")</f>
        <v>rg:[ { 'req' : 'id' }, { 'req': 'effectiveDate' }, { 'req': 'user' }, { 'req': 'role'} ]</v>
      </c>
      <c r="Y122" s="9" t="str">
        <f>IF(LEN(Table2[[#This Row],[!Unique]])&gt;0,IF(Table2[[#This Row],[!Type]] = "id", "rg:None","rg:True"),"rg:None")</f>
        <v>rg:None</v>
      </c>
    </row>
    <row r="123" spans="1:25" s="4" customFormat="1" x14ac:dyDescent="0.35">
      <c r="A123" s="3" t="s">
        <v>58</v>
      </c>
      <c r="B123" s="3" t="s">
        <v>11</v>
      </c>
      <c r="C123" s="3"/>
      <c r="D123" s="3" t="s">
        <v>60</v>
      </c>
      <c r="E123" s="30" t="s">
        <v>153</v>
      </c>
      <c r="F123" s="3" t="s">
        <v>5</v>
      </c>
      <c r="I123" s="5" t="str">
        <f t="shared" si="6"/>
        <v>Defs</v>
      </c>
      <c r="J123" t="str">
        <f>IF(Table2[[#This Row],[!Type]]=J$1, J$1,"rg:None")</f>
        <v>rg:None</v>
      </c>
      <c r="K123" t="str">
        <f>IF(Table2[[#This Row],[!Type]]=K$1, K$1,"rg:None")</f>
        <v>rg:None</v>
      </c>
      <c r="L123" t="str">
        <f>IF(Table2[[#This Row],[!Type]]=L$1, L$1,"rg:None")</f>
        <v>datetime</v>
      </c>
      <c r="M123" t="str">
        <f>IF(Table2[[#This Row],[!Type]]=M$1, M$1,"rg:None")</f>
        <v>rg:None</v>
      </c>
      <c r="N123" s="9" t="str">
        <f>IF(Table2[[#This Row],[!Type]]=N$1, N$1,"rg:None")</f>
        <v>rg:None</v>
      </c>
      <c r="O123" s="9"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9" t="str">
        <f>IF(LEN(Table2[[#This Row],[!Length]]) &gt; 0, Table2[[#This Row],[!Length]], "rg:None")</f>
        <v>rg:None</v>
      </c>
      <c r="U123" s="9" t="str">
        <f>IF(LEN(Table2[[#This Row],[!Name]]) &gt; 0, Table2[[#This Row],[!Name]], "rg:None")</f>
        <v>expiryDate</v>
      </c>
      <c r="V123" s="9" t="str">
        <f>IF(LEN(Table2[[#This Row],[!Description]]) &gt; 0, Table2[[#This Row],[!Description]], "rg:None")</f>
        <v>The date on which a role previously assigned to a user was removed from that user.</v>
      </c>
      <c r="W123" s="9" t="str">
        <f>IF(LEN(Table2[[#This Row],[!FK]])&gt;0,Table2[[#This Row],[!FK]],"rg:None")</f>
        <v>rg:None</v>
      </c>
      <c r="X123" s="9" t="str">
        <f>IF(LEN(concatif2(A:A,Table2[[#This Row],[!Table]],G:G,"Y",D:D,",")) &gt; 0,"rg:[ { 'req' : '"&amp;concatif2(A:A,Table2[[#This Row],[!Table]],G:G,"Y",D:D,"' }, { 'req': '")&amp;"'} ]","rg:[]")</f>
        <v>rg:[ { 'req' : 'id' }, { 'req': 'effectiveDate' }, { 'req': 'user' }, { 'req': 'role'} ]</v>
      </c>
      <c r="Y123" s="9" t="str">
        <f>IF(LEN(Table2[[#This Row],[!Unique]])&gt;0,IF(Table2[[#This Row],[!Type]] = "id", "rg:None","rg:True"),"rg:None")</f>
        <v>rg:None</v>
      </c>
    </row>
    <row r="124" spans="1:25" s="4" customFormat="1" x14ac:dyDescent="0.35">
      <c r="A124" s="60" t="s">
        <v>58</v>
      </c>
      <c r="B124" s="60" t="s">
        <v>8</v>
      </c>
      <c r="C124" s="3"/>
      <c r="D124" s="60" t="s">
        <v>48</v>
      </c>
      <c r="E124" s="31"/>
      <c r="F124" s="61" t="s">
        <v>0</v>
      </c>
      <c r="G124" s="62" t="s">
        <v>69</v>
      </c>
      <c r="H124" s="16"/>
      <c r="I124" s="4" t="str">
        <f>IF(LEN(A124) &gt; 0,"Defs","-")</f>
        <v>Defs</v>
      </c>
      <c r="J124" s="14" t="str">
        <f>IF(Table2[[#This Row],[!Type]]=J$1, J$1,"rg:None")</f>
        <v>rg:None</v>
      </c>
      <c r="K124" s="27" t="str">
        <f>IF(Table2[[#This Row],[!Type]]=K$1, K$1,"rg:None")</f>
        <v>rg:None</v>
      </c>
      <c r="L124" s="14" t="str">
        <f>IF(Table2[[#This Row],[!Type]]=L$1, L$1,"rg:None")</f>
        <v>rg:None</v>
      </c>
      <c r="M124" s="14" t="str">
        <f>IF(Table2[[#This Row],[!Type]]=M$1, M$1,"rg:None")</f>
        <v>rg:None</v>
      </c>
      <c r="N124" s="14" t="str">
        <f>IF(Table2[[#This Row],[!Type]]=N$1, N$1,"rg:None")</f>
        <v>rg:None</v>
      </c>
      <c r="O124" s="1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4" t="str">
        <f>IF(LEN(Table2[[#This Row],[!Length]]) &gt; 0, Table2[[#This Row],[!Length]], "rg:None")</f>
        <v>rg:None</v>
      </c>
      <c r="U124" s="14" t="str">
        <f>IF(LEN(Table2[[#This Row],[!Name]]) &gt; 0, Table2[[#This Row],[!Name]], "rg:None")</f>
        <v>user</v>
      </c>
      <c r="V124" s="14" t="str">
        <f>IF(LEN(Table2[[#This Row],[!Description]]) &gt; 0, Table2[[#This Row],[!Description]], "rg:None")</f>
        <v>rg:None</v>
      </c>
      <c r="W124" s="14" t="str">
        <f>IF(LEN(Table2[[#This Row],[!FK]])&gt;0,Table2[[#This Row],[!FK]],"rg:None")</f>
        <v>User</v>
      </c>
      <c r="X124" s="14" t="str">
        <f>IF(LEN(concatif2(A:A,Table2[[#This Row],[!Table]],G:G,"Y",D:D,",")) &gt; 0,"rg:[ { 'req' : '"&amp;concatif2(A:A,Table2[[#This Row],[!Table]],G:G,"Y",D:D,"' }, { 'req': '")&amp;"'} ]","rg:[]")</f>
        <v>rg:[ { 'req' : 'id' }, { 'req': 'effectiveDate' }, { 'req': 'user' }, { 'req': 'role'} ]</v>
      </c>
      <c r="Y124" s="14" t="str">
        <f>IF(LEN(Table2[[#This Row],[!Unique]])&gt;0,IF(Table2[[#This Row],[!Type]] = "id", "rg:None","rg:True"),"rg:None")</f>
        <v>rg:None</v>
      </c>
    </row>
    <row r="125" spans="1:25" s="4" customFormat="1" x14ac:dyDescent="0.35">
      <c r="A125" s="3" t="s">
        <v>58</v>
      </c>
      <c r="B125" s="3" t="s">
        <v>8</v>
      </c>
      <c r="C125" s="3"/>
      <c r="D125" s="3" t="s">
        <v>25</v>
      </c>
      <c r="E125" s="42"/>
      <c r="F125" s="3" t="s">
        <v>61</v>
      </c>
      <c r="G125" s="63" t="s">
        <v>69</v>
      </c>
      <c r="I125" s="5" t="str">
        <f t="shared" si="6"/>
        <v>Defs</v>
      </c>
      <c r="J125" t="str">
        <f>IF(Table2[[#This Row],[!Type]]=J$1, J$1,"rg:None")</f>
        <v>rg:None</v>
      </c>
      <c r="K125" t="str">
        <f>IF(Table2[[#This Row],[!Type]]=K$1, K$1,"rg:None")</f>
        <v>rg:None</v>
      </c>
      <c r="L125" t="str">
        <f>IF(Table2[[#This Row],[!Type]]=L$1, L$1,"rg:None")</f>
        <v>rg:None</v>
      </c>
      <c r="M125" t="str">
        <f>IF(Table2[[#This Row],[!Type]]=M$1, M$1,"rg:None")</f>
        <v>rg:None</v>
      </c>
      <c r="N125" s="9" t="str">
        <f>IF(Table2[[#This Row],[!Type]]=N$1, N$1,"rg:None")</f>
        <v>rg:None</v>
      </c>
      <c r="O125" s="9" t="str">
        <f>IF(Table2[[#This Row],[!Type]]=O$1, O$1,"rg:None")</f>
        <v>rg:None</v>
      </c>
      <c r="P125" s="5" t="str">
        <f>IF(Table2[[#This Row],[!Type]]=P$1, P$1,"rg:None")</f>
        <v>rg:None</v>
      </c>
      <c r="Q125" s="5" t="str">
        <f>IF(Table2[[#This Row],[!Type]]=Q$1, Q$1,"rg:None")</f>
        <v>ref</v>
      </c>
      <c r="R125" s="5" t="str">
        <f>IF(Table2[[#This Row],[!Type]]=R$1, R$1,"rg:None")</f>
        <v>rg:None</v>
      </c>
      <c r="S125" s="5" t="str">
        <f>IF(Table2[[#This Row],[!Type]]=S$1, S$1,"rg:None")</f>
        <v>rg:None</v>
      </c>
      <c r="T125" s="9" t="str">
        <f>IF(LEN(Table2[[#This Row],[!Length]]) &gt; 0, Table2[[#This Row],[!Length]], "rg:None")</f>
        <v>rg:None</v>
      </c>
      <c r="U125" s="9" t="str">
        <f>IF(LEN(Table2[[#This Row],[!Name]]) &gt; 0, Table2[[#This Row],[!Name]], "rg:None")</f>
        <v>role</v>
      </c>
      <c r="V125" s="9" t="str">
        <f>IF(LEN(Table2[[#This Row],[!Description]]) &gt; 0, Table2[[#This Row],[!Description]], "rg:None")</f>
        <v>rg:None</v>
      </c>
      <c r="W125" s="9" t="str">
        <f>IF(LEN(Table2[[#This Row],[!FK]])&gt;0,Table2[[#This Row],[!FK]],"rg:None")</f>
        <v>Role</v>
      </c>
      <c r="X125" s="9" t="str">
        <f>IF(LEN(concatif2(A:A,Table2[[#This Row],[!Table]],G:G,"Y",D:D,",")) &gt; 0,"rg:[ { 'req' : '"&amp;concatif2(A:A,Table2[[#This Row],[!Table]],G:G,"Y",D:D,"' }, { 'req': '")&amp;"'} ]","rg:[]")</f>
        <v>rg:[ { 'req' : 'id' }, { 'req': 'effectiveDate' }, { 'req': 'user' }, { 'req': 'role'} ]</v>
      </c>
      <c r="Y125" s="9" t="str">
        <f>IF(LEN(Table2[[#This Row],[!Unique]])&gt;0,IF(Table2[[#This Row],[!Type]] = "id", "rg:None","rg:True"),"rg:None")</f>
        <v>rg:None</v>
      </c>
    </row>
    <row r="126" spans="1:25" s="4" customFormat="1" x14ac:dyDescent="0.35">
      <c r="A126" s="3" t="s">
        <v>61</v>
      </c>
      <c r="B126" s="3" t="s">
        <v>4</v>
      </c>
      <c r="C126" s="3"/>
      <c r="D126" s="3" t="s">
        <v>61</v>
      </c>
      <c r="E126" s="30" t="s">
        <v>154</v>
      </c>
      <c r="F126" s="3" t="s">
        <v>5</v>
      </c>
      <c r="I126" s="5" t="str">
        <f t="shared" si="6"/>
        <v>Defs</v>
      </c>
      <c r="J126" t="str">
        <f>IF(Table2[[#This Row],[!Type]]=J$1, J$1,"rg:None")</f>
        <v>rg:None</v>
      </c>
      <c r="K126" t="str">
        <f>IF(Table2[[#This Row],[!Type]]=K$1, K$1,"rg:None")</f>
        <v>rg:None</v>
      </c>
      <c r="L126" t="str">
        <f>IF(Table2[[#This Row],[!Type]]=L$1, L$1,"rg:None")</f>
        <v>rg:None</v>
      </c>
      <c r="M126" t="str">
        <f>IF(Table2[[#This Row],[!Type]]=M$1, M$1,"rg:None")</f>
        <v>rg:None</v>
      </c>
      <c r="N126" s="9" t="str">
        <f>IF(Table2[[#This Row],[!Type]]=N$1, N$1,"rg:None")</f>
        <v>rg:None</v>
      </c>
      <c r="O126" s="9"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table</v>
      </c>
      <c r="T126" s="9" t="str">
        <f>IF(LEN(Table2[[#This Row],[!Length]]) &gt; 0, Table2[[#This Row],[!Length]], "rg:None")</f>
        <v>rg:None</v>
      </c>
      <c r="U126" s="9" t="str">
        <f>IF(LEN(Table2[[#This Row],[!Name]]) &gt; 0, Table2[[#This Row],[!Name]], "rg:None")</f>
        <v>Role</v>
      </c>
      <c r="V126"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26" s="9" t="str">
        <f>IF(LEN(Table2[[#This Row],[!FK]])&gt;0,Table2[[#This Row],[!FK]],"rg:None")</f>
        <v>rg:None</v>
      </c>
      <c r="X126" s="9" t="str">
        <f>IF(LEN(concatif2(A:A,Table2[[#This Row],[!Table]],G:G,"Y",D:D,",")) &gt; 0,"rg:[ { 'req' : '"&amp;concatif2(A:A,Table2[[#This Row],[!Table]],G:G,"Y",D:D,"' }, { 'req': '")&amp;"'} ]","rg:[]")</f>
        <v>rg:[ { 'req' : 'id' }, { 'req': 'name' }, { 'req': 'description'} ]</v>
      </c>
      <c r="Y126" s="9" t="str">
        <f>IF(LEN(Table2[[#This Row],[!Unique]])&gt;0,IF(Table2[[#This Row],[!Type]] = "id", "rg:None","rg:True"),"rg:None")</f>
        <v>rg:None</v>
      </c>
    </row>
    <row r="127" spans="1:25" s="4" customFormat="1" x14ac:dyDescent="0.35">
      <c r="A127" s="3" t="s">
        <v>61</v>
      </c>
      <c r="B127" s="3" t="s">
        <v>6</v>
      </c>
      <c r="C127" s="3"/>
      <c r="D127" s="3" t="s">
        <v>6</v>
      </c>
      <c r="E127" s="23" t="s">
        <v>137</v>
      </c>
      <c r="F127" s="3" t="s">
        <v>5</v>
      </c>
      <c r="G127" s="4" t="s">
        <v>69</v>
      </c>
      <c r="H127" s="50" t="s">
        <v>69</v>
      </c>
      <c r="I127" s="5" t="str">
        <f t="shared" si="6"/>
        <v>Defs</v>
      </c>
      <c r="J127" t="str">
        <f>IF(Table2[[#This Row],[!Type]]=J$1, J$1,"rg:None")</f>
        <v>rg:None</v>
      </c>
      <c r="K127" t="str">
        <f>IF(Table2[[#This Row],[!Type]]=K$1, K$1,"rg:None")</f>
        <v>rg:None</v>
      </c>
      <c r="L127" t="str">
        <f>IF(Table2[[#This Row],[!Type]]=L$1, L$1,"rg:None")</f>
        <v>rg:None</v>
      </c>
      <c r="M127" t="str">
        <f>IF(Table2[[#This Row],[!Type]]=M$1, M$1,"rg:None")</f>
        <v>id</v>
      </c>
      <c r="N127" s="9" t="str">
        <f>IF(Table2[[#This Row],[!Type]]=N$1, N$1,"rg:None")</f>
        <v>rg:None</v>
      </c>
      <c r="O127" s="9"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rg:None</v>
      </c>
      <c r="T127" s="9" t="str">
        <f>IF(LEN(Table2[[#This Row],[!Length]]) &gt; 0, Table2[[#This Row],[!Length]], "rg:None")</f>
        <v>rg:None</v>
      </c>
      <c r="U127" s="9" t="str">
        <f>IF(LEN(Table2[[#This Row],[!Name]]) &gt; 0, Table2[[#This Row],[!Name]], "rg:None")</f>
        <v>id</v>
      </c>
      <c r="V127" s="9" t="str">
        <f>IF(LEN(Table2[[#This Row],[!Description]]) &gt; 0, Table2[[#This Row],[!Description]], "rg:None")</f>
        <v>A system-generated unique identifier for a Role</v>
      </c>
      <c r="W127" s="9" t="str">
        <f>IF(LEN(Table2[[#This Row],[!FK]])&gt;0,Table2[[#This Row],[!FK]],"rg:None")</f>
        <v>rg:None</v>
      </c>
      <c r="X127" s="9" t="str">
        <f>IF(LEN(concatif2(A:A,Table2[[#This Row],[!Table]],G:G,"Y",D:D,",")) &gt; 0,"rg:[ { 'req' : '"&amp;concatif2(A:A,Table2[[#This Row],[!Table]],G:G,"Y",D:D,"' }, { 'req': '")&amp;"'} ]","rg:[]")</f>
        <v>rg:[ { 'req' : 'id' }, { 'req': 'name' }, { 'req': 'description'} ]</v>
      </c>
      <c r="Y127" s="9" t="str">
        <f>IF(LEN(Table2[[#This Row],[!Unique]])&gt;0,IF(Table2[[#This Row],[!Type]] = "id", "rg:None","rg:True"),"rg:None")</f>
        <v>rg:None</v>
      </c>
    </row>
    <row r="128" spans="1:25" s="4" customFormat="1" x14ac:dyDescent="0.35">
      <c r="A128" s="3" t="s">
        <v>61</v>
      </c>
      <c r="B128" s="3" t="s">
        <v>7</v>
      </c>
      <c r="C128" s="3"/>
      <c r="D128" s="3" t="s">
        <v>17</v>
      </c>
      <c r="E128" s="30" t="s">
        <v>155</v>
      </c>
      <c r="F128" s="3" t="s">
        <v>5</v>
      </c>
      <c r="G128" s="4" t="s">
        <v>69</v>
      </c>
      <c r="I128" s="5" t="str">
        <f t="shared" si="6"/>
        <v>Defs</v>
      </c>
      <c r="J128" t="str">
        <f>IF(Table2[[#This Row],[!Type]]=J$1, J$1,"rg:None")</f>
        <v>rg:None</v>
      </c>
      <c r="K128" t="str">
        <f>IF(Table2[[#This Row],[!Type]]=K$1, K$1,"rg:None")</f>
        <v>rg:None</v>
      </c>
      <c r="L128" t="str">
        <f>IF(Table2[[#This Row],[!Type]]=L$1, L$1,"rg:None")</f>
        <v>rg:None</v>
      </c>
      <c r="M128" t="str">
        <f>IF(Table2[[#This Row],[!Type]]=M$1, M$1,"rg:None")</f>
        <v>rg:None</v>
      </c>
      <c r="N128" s="9" t="str">
        <f>IF(Table2[[#This Row],[!Type]]=N$1, N$1,"rg:None")</f>
        <v>rg:None</v>
      </c>
      <c r="O128" s="9"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9" t="str">
        <f>IF(LEN(Table2[[#This Row],[!Length]]) &gt; 0, Table2[[#This Row],[!Length]], "rg:None")</f>
        <v>rg:None</v>
      </c>
      <c r="U128" s="9" t="str">
        <f>IF(LEN(Table2[[#This Row],[!Name]]) &gt; 0, Table2[[#This Row],[!Name]], "rg:None")</f>
        <v>name</v>
      </c>
      <c r="V128" s="9" t="str">
        <f>IF(LEN(Table2[[#This Row],[!Description]]) &gt; 0, Table2[[#This Row],[!Description]], "rg:None")</f>
        <v>The name of the Role, as established by the user creating the role.</v>
      </c>
      <c r="W128" s="9" t="str">
        <f>IF(LEN(Table2[[#This Row],[!FK]])&gt;0,Table2[[#This Row],[!FK]],"rg:None")</f>
        <v>rg:None</v>
      </c>
      <c r="X128" s="9" t="str">
        <f>IF(LEN(concatif2(A:A,Table2[[#This Row],[!Table]],G:G,"Y",D:D,",")) &gt; 0,"rg:[ { 'req' : '"&amp;concatif2(A:A,Table2[[#This Row],[!Table]],G:G,"Y",D:D,"' }, { 'req': '")&amp;"'} ]","rg:[]")</f>
        <v>rg:[ { 'req' : 'id' }, { 'req': 'name' }, { 'req': 'description'} ]</v>
      </c>
      <c r="Y128" s="9" t="str">
        <f>IF(LEN(Table2[[#This Row],[!Unique]])&gt;0,IF(Table2[[#This Row],[!Type]] = "id", "rg:None","rg:True"),"rg:None")</f>
        <v>rg:None</v>
      </c>
    </row>
    <row r="129" spans="1:25" s="4" customFormat="1" x14ac:dyDescent="0.35">
      <c r="A129" s="3" t="s">
        <v>61</v>
      </c>
      <c r="B129" s="3" t="s">
        <v>7</v>
      </c>
      <c r="C129" s="3"/>
      <c r="D129" s="3" t="s">
        <v>15</v>
      </c>
      <c r="E129" s="30" t="s">
        <v>156</v>
      </c>
      <c r="F129" s="3" t="s">
        <v>5</v>
      </c>
      <c r="G129" s="4" t="s">
        <v>69</v>
      </c>
      <c r="I129" s="5" t="str">
        <f t="shared" si="6"/>
        <v>Defs</v>
      </c>
      <c r="J129" t="str">
        <f>IF(Table2[[#This Row],[!Type]]=J$1, J$1,"rg:None")</f>
        <v>rg:None</v>
      </c>
      <c r="K129" t="str">
        <f>IF(Table2[[#This Row],[!Type]]=K$1, K$1,"rg:None")</f>
        <v>rg:None</v>
      </c>
      <c r="L129" t="str">
        <f>IF(Table2[[#This Row],[!Type]]=L$1, L$1,"rg:None")</f>
        <v>rg:None</v>
      </c>
      <c r="M129" t="str">
        <f>IF(Table2[[#This Row],[!Type]]=M$1, M$1,"rg:None")</f>
        <v>rg:None</v>
      </c>
      <c r="N129" s="9" t="str">
        <f>IF(Table2[[#This Row],[!Type]]=N$1, N$1,"rg:None")</f>
        <v>rg:None</v>
      </c>
      <c r="O129" s="9"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9" t="str">
        <f>IF(LEN(Table2[[#This Row],[!Length]]) &gt; 0, Table2[[#This Row],[!Length]], "rg:None")</f>
        <v>rg:None</v>
      </c>
      <c r="U129" s="9" t="str">
        <f>IF(LEN(Table2[[#This Row],[!Name]]) &gt; 0, Table2[[#This Row],[!Name]], "rg:None")</f>
        <v>description</v>
      </c>
      <c r="V129" s="9" t="str">
        <f>IF(LEN(Table2[[#This Row],[!Description]]) &gt; 0, Table2[[#This Row],[!Description]], "rg:None")</f>
        <v>A description of the role as set by the user creating/updating the role.</v>
      </c>
      <c r="W129" s="9" t="str">
        <f>IF(LEN(Table2[[#This Row],[!FK]])&gt;0,Table2[[#This Row],[!FK]],"rg:None")</f>
        <v>rg:None</v>
      </c>
      <c r="X129" s="9" t="str">
        <f>IF(LEN(concatif2(A:A,Table2[[#This Row],[!Table]],G:G,"Y",D:D,",")) &gt; 0,"rg:[ { 'req' : '"&amp;concatif2(A:A,Table2[[#This Row],[!Table]],G:G,"Y",D:D,"' }, { 'req': '")&amp;"'} ]","rg:[]")</f>
        <v>rg:[ { 'req' : 'id' }, { 'req': 'name' }, { 'req': 'description'} ]</v>
      </c>
      <c r="Y129" s="9" t="str">
        <f>IF(LEN(Table2[[#This Row],[!Unique]])&gt;0,IF(Table2[[#This Row],[!Type]] = "id", "rg:None","rg:True"),"rg:None")</f>
        <v>rg:None</v>
      </c>
    </row>
    <row r="130" spans="1:25" s="4" customFormat="1" x14ac:dyDescent="0.35">
      <c r="A130" s="3" t="s">
        <v>62</v>
      </c>
      <c r="B130" s="3" t="s">
        <v>4</v>
      </c>
      <c r="C130" s="3"/>
      <c r="D130" s="3" t="s">
        <v>62</v>
      </c>
      <c r="E130" s="30" t="s">
        <v>157</v>
      </c>
      <c r="F130" s="3" t="s">
        <v>5</v>
      </c>
      <c r="I130" s="5" t="str">
        <f t="shared" si="6"/>
        <v>Defs</v>
      </c>
      <c r="J130" t="str">
        <f>IF(Table2[[#This Row],[!Type]]=J$1, J$1,"rg:None")</f>
        <v>rg:None</v>
      </c>
      <c r="K130" t="str">
        <f>IF(Table2[[#This Row],[!Type]]=K$1, K$1,"rg:None")</f>
        <v>rg:None</v>
      </c>
      <c r="L130" t="str">
        <f>IF(Table2[[#This Row],[!Type]]=L$1, L$1,"rg:None")</f>
        <v>rg:None</v>
      </c>
      <c r="M130" t="str">
        <f>IF(Table2[[#This Row],[!Type]]=M$1, M$1,"rg:None")</f>
        <v>rg:None</v>
      </c>
      <c r="N130" s="9" t="str">
        <f>IF(Table2[[#This Row],[!Type]]=N$1, N$1,"rg:None")</f>
        <v>rg:None</v>
      </c>
      <c r="O130" s="9"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9" t="str">
        <f>IF(LEN(Table2[[#This Row],[!Length]]) &gt; 0, Table2[[#This Row],[!Length]], "rg:None")</f>
        <v>rg:None</v>
      </c>
      <c r="U130" s="9" t="str">
        <f>IF(LEN(Table2[[#This Row],[!Name]]) &gt; 0, Table2[[#This Row],[!Name]], "rg:None")</f>
        <v>RolePermission</v>
      </c>
      <c r="V130" s="9" t="str">
        <f>IF(LEN(Table2[[#This Row],[!Description]]) &gt; 0, Table2[[#This Row],[!Description]], "rg:None")</f>
        <v>The collection of permissions included in a role.</v>
      </c>
      <c r="W130" s="9" t="str">
        <f>IF(LEN(Table2[[#This Row],[!FK]])&gt;0,Table2[[#This Row],[!FK]],"rg:None")</f>
        <v>rg:None</v>
      </c>
      <c r="X130" s="9" t="str">
        <f>IF(LEN(concatif2(A:A,Table2[[#This Row],[!Table]],G:G,"Y",D:D,",")) &gt; 0,"rg:[ { 'req' : '"&amp;concatif2(A:A,Table2[[#This Row],[!Table]],G:G,"Y",D:D,"' }, { 'req': '")&amp;"'} ]","rg:[]")</f>
        <v>rg:[ { 'req' : 'id'} ]</v>
      </c>
      <c r="Y130" s="9" t="str">
        <f>IF(LEN(Table2[[#This Row],[!Unique]])&gt;0,IF(Table2[[#This Row],[!Type]] = "id", "rg:None","rg:True"),"rg:None")</f>
        <v>rg:None</v>
      </c>
    </row>
    <row r="131" spans="1:25" s="4" customFormat="1" x14ac:dyDescent="0.35">
      <c r="A131" s="3" t="s">
        <v>62</v>
      </c>
      <c r="B131" s="3" t="s">
        <v>6</v>
      </c>
      <c r="C131" s="3"/>
      <c r="D131" s="3" t="s">
        <v>6</v>
      </c>
      <c r="E131" s="23" t="s">
        <v>138</v>
      </c>
      <c r="F131" s="3" t="s">
        <v>5</v>
      </c>
      <c r="G131" s="4" t="s">
        <v>69</v>
      </c>
      <c r="H131" s="50" t="s">
        <v>69</v>
      </c>
      <c r="I131" s="5" t="str">
        <f t="shared" si="6"/>
        <v>Defs</v>
      </c>
      <c r="J131" t="str">
        <f>IF(Table2[[#This Row],[!Type]]=J$1, J$1,"rg:None")</f>
        <v>rg:None</v>
      </c>
      <c r="K131" t="str">
        <f>IF(Table2[[#This Row],[!Type]]=K$1, K$1,"rg:None")</f>
        <v>rg:None</v>
      </c>
      <c r="L131" t="str">
        <f>IF(Table2[[#This Row],[!Type]]=L$1, L$1,"rg:None")</f>
        <v>rg:None</v>
      </c>
      <c r="M131" t="str">
        <f>IF(Table2[[#This Row],[!Type]]=M$1, M$1,"rg:None")</f>
        <v>id</v>
      </c>
      <c r="N131" s="9" t="str">
        <f>IF(Table2[[#This Row],[!Type]]=N$1, N$1,"rg:None")</f>
        <v>rg:None</v>
      </c>
      <c r="O131" s="9"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9" t="str">
        <f>IF(LEN(Table2[[#This Row],[!Length]]) &gt; 0, Table2[[#This Row],[!Length]], "rg:None")</f>
        <v>rg:None</v>
      </c>
      <c r="U131" s="9" t="str">
        <f>IF(LEN(Table2[[#This Row],[!Name]]) &gt; 0, Table2[[#This Row],[!Name]], "rg:None")</f>
        <v>id</v>
      </c>
      <c r="V131" s="9" t="str">
        <f>IF(LEN(Table2[[#This Row],[!Description]]) &gt; 0, Table2[[#This Row],[!Description]], "rg:None")</f>
        <v>A system-generated unique identifier for a RolePermission</v>
      </c>
      <c r="W131" s="9" t="str">
        <f>IF(LEN(Table2[[#This Row],[!FK]])&gt;0,Table2[[#This Row],[!FK]],"rg:None")</f>
        <v>rg:None</v>
      </c>
      <c r="X131" s="9" t="str">
        <f>IF(LEN(concatif2(A:A,Table2[[#This Row],[!Table]],G:G,"Y",D:D,",")) &gt; 0,"rg:[ { 'req' : '"&amp;concatif2(A:A,Table2[[#This Row],[!Table]],G:G,"Y",D:D,"' }, { 'req': '")&amp;"'} ]","rg:[]")</f>
        <v>rg:[ { 'req' : 'id'} ]</v>
      </c>
      <c r="Y131" s="9" t="str">
        <f>IF(LEN(Table2[[#This Row],[!Unique]])&gt;0,IF(Table2[[#This Row],[!Type]] = "id", "rg:None","rg:True"),"rg:None")</f>
        <v>rg:None</v>
      </c>
    </row>
    <row r="132" spans="1:25" s="4" customFormat="1" x14ac:dyDescent="0.35">
      <c r="A132" s="3" t="s">
        <v>62</v>
      </c>
      <c r="B132" s="3" t="s">
        <v>8</v>
      </c>
      <c r="C132" s="3"/>
      <c r="D132" s="3" t="s">
        <v>25</v>
      </c>
      <c r="E132" s="42"/>
      <c r="F132" s="3" t="s">
        <v>61</v>
      </c>
      <c r="I132" s="5" t="str">
        <f t="shared" si="6"/>
        <v>Defs</v>
      </c>
      <c r="J132" t="str">
        <f>IF(Table2[[#This Row],[!Type]]=J$1, J$1,"rg:None")</f>
        <v>rg:None</v>
      </c>
      <c r="K132" t="str">
        <f>IF(Table2[[#This Row],[!Type]]=K$1, K$1,"rg:None")</f>
        <v>rg:None</v>
      </c>
      <c r="L132" t="str">
        <f>IF(Table2[[#This Row],[!Type]]=L$1, L$1,"rg:None")</f>
        <v>rg:None</v>
      </c>
      <c r="M132" t="str">
        <f>IF(Table2[[#This Row],[!Type]]=M$1, M$1,"rg:None")</f>
        <v>rg:None</v>
      </c>
      <c r="N132" s="9" t="str">
        <f>IF(Table2[[#This Row],[!Type]]=N$1, N$1,"rg:None")</f>
        <v>rg:None</v>
      </c>
      <c r="O132" s="9" t="str">
        <f>IF(Table2[[#This Row],[!Type]]=O$1, O$1,"rg:None")</f>
        <v>rg:None</v>
      </c>
      <c r="P132" s="5" t="str">
        <f>IF(Table2[[#This Row],[!Type]]=P$1, P$1,"rg:None")</f>
        <v>rg:None</v>
      </c>
      <c r="Q132" s="5" t="str">
        <f>IF(Table2[[#This Row],[!Type]]=Q$1, Q$1,"rg:None")</f>
        <v>ref</v>
      </c>
      <c r="R132" s="5" t="str">
        <f>IF(Table2[[#This Row],[!Type]]=R$1, R$1,"rg:None")</f>
        <v>rg:None</v>
      </c>
      <c r="S132" s="5" t="str">
        <f>IF(Table2[[#This Row],[!Type]]=S$1, S$1,"rg:None")</f>
        <v>rg:None</v>
      </c>
      <c r="T132" s="9" t="str">
        <f>IF(LEN(Table2[[#This Row],[!Length]]) &gt; 0, Table2[[#This Row],[!Length]], "rg:None")</f>
        <v>rg:None</v>
      </c>
      <c r="U132" s="9" t="str">
        <f>IF(LEN(Table2[[#This Row],[!Name]]) &gt; 0, Table2[[#This Row],[!Name]], "rg:None")</f>
        <v>role</v>
      </c>
      <c r="V132" s="9" t="str">
        <f>IF(LEN(Table2[[#This Row],[!Description]]) &gt; 0, Table2[[#This Row],[!Description]], "rg:None")</f>
        <v>rg:None</v>
      </c>
      <c r="W132" s="9" t="str">
        <f>IF(LEN(Table2[[#This Row],[!FK]])&gt;0,Table2[[#This Row],[!FK]],"rg:None")</f>
        <v>Role</v>
      </c>
      <c r="X132" s="9" t="str">
        <f>IF(LEN(concatif2(A:A,Table2[[#This Row],[!Table]],G:G,"Y",D:D,",")) &gt; 0,"rg:[ { 'req' : '"&amp;concatif2(A:A,Table2[[#This Row],[!Table]],G:G,"Y",D:D,"' }, { 'req': '")&amp;"'} ]","rg:[]")</f>
        <v>rg:[ { 'req' : 'id'} ]</v>
      </c>
      <c r="Y132" s="9" t="str">
        <f>IF(LEN(Table2[[#This Row],[!Unique]])&gt;0,IF(Table2[[#This Row],[!Type]] = "id", "rg:None","rg:True"),"rg:None")</f>
        <v>rg:None</v>
      </c>
    </row>
    <row r="133" spans="1:25" s="4" customFormat="1" x14ac:dyDescent="0.35">
      <c r="A133" s="3" t="s">
        <v>62</v>
      </c>
      <c r="B133" s="3" t="s">
        <v>8</v>
      </c>
      <c r="C133" s="3"/>
      <c r="D133" s="3" t="s">
        <v>63</v>
      </c>
      <c r="E133" s="42"/>
      <c r="F133" s="3" t="s">
        <v>64</v>
      </c>
      <c r="I133" s="5" t="str">
        <f t="shared" si="6"/>
        <v>Defs</v>
      </c>
      <c r="J133" t="str">
        <f>IF(Table2[[#This Row],[!Type]]=J$1, J$1,"rg:None")</f>
        <v>rg:None</v>
      </c>
      <c r="K133" t="str">
        <f>IF(Table2[[#This Row],[!Type]]=K$1, K$1,"rg:None")</f>
        <v>rg:None</v>
      </c>
      <c r="L133" t="str">
        <f>IF(Table2[[#This Row],[!Type]]=L$1, L$1,"rg:None")</f>
        <v>rg:None</v>
      </c>
      <c r="M133" t="str">
        <f>IF(Table2[[#This Row],[!Type]]=M$1, M$1,"rg:None")</f>
        <v>rg:None</v>
      </c>
      <c r="N133" s="9" t="str">
        <f>IF(Table2[[#This Row],[!Type]]=N$1, N$1,"rg:None")</f>
        <v>rg:None</v>
      </c>
      <c r="O133" s="9" t="str">
        <f>IF(Table2[[#This Row],[!Type]]=O$1, O$1,"rg:None")</f>
        <v>rg:None</v>
      </c>
      <c r="P133" s="5" t="str">
        <f>IF(Table2[[#This Row],[!Type]]=P$1, P$1,"rg:None")</f>
        <v>rg:None</v>
      </c>
      <c r="Q133" s="5" t="str">
        <f>IF(Table2[[#This Row],[!Type]]=Q$1, Q$1,"rg:None")</f>
        <v>ref</v>
      </c>
      <c r="R133" s="5" t="str">
        <f>IF(Table2[[#This Row],[!Type]]=R$1, R$1,"rg:None")</f>
        <v>rg:None</v>
      </c>
      <c r="S133" s="5" t="str">
        <f>IF(Table2[[#This Row],[!Type]]=S$1, S$1,"rg:None")</f>
        <v>rg:None</v>
      </c>
      <c r="T133" s="9" t="str">
        <f>IF(LEN(Table2[[#This Row],[!Length]]) &gt; 0, Table2[[#This Row],[!Length]], "rg:None")</f>
        <v>rg:None</v>
      </c>
      <c r="U133" s="9" t="str">
        <f>IF(LEN(Table2[[#This Row],[!Name]]) &gt; 0, Table2[[#This Row],[!Name]], "rg:None")</f>
        <v>permission</v>
      </c>
      <c r="V133" s="9" t="str">
        <f>IF(LEN(Table2[[#This Row],[!Description]]) &gt; 0, Table2[[#This Row],[!Description]], "rg:None")</f>
        <v>rg:None</v>
      </c>
      <c r="W133" s="9" t="str">
        <f>IF(LEN(Table2[[#This Row],[!FK]])&gt;0,Table2[[#This Row],[!FK]],"rg:None")</f>
        <v>Permission</v>
      </c>
      <c r="X133" s="9" t="str">
        <f>IF(LEN(concatif2(A:A,Table2[[#This Row],[!Table]],G:G,"Y",D:D,",")) &gt; 0,"rg:[ { 'req' : '"&amp;concatif2(A:A,Table2[[#This Row],[!Table]],G:G,"Y",D:D,"' }, { 'req': '")&amp;"'} ]","rg:[]")</f>
        <v>rg:[ { 'req' : 'id'} ]</v>
      </c>
      <c r="Y133" s="9" t="str">
        <f>IF(LEN(Table2[[#This Row],[!Unique]])&gt;0,IF(Table2[[#This Row],[!Type]] = "id", "rg:None","rg:True"),"rg:None")</f>
        <v>rg:None</v>
      </c>
    </row>
    <row r="134" spans="1:25" s="4" customFormat="1" x14ac:dyDescent="0.35">
      <c r="A134" s="3" t="s">
        <v>64</v>
      </c>
      <c r="B134" s="3" t="s">
        <v>4</v>
      </c>
      <c r="C134" s="3"/>
      <c r="D134" s="3" t="s">
        <v>64</v>
      </c>
      <c r="E134" s="30" t="s">
        <v>159</v>
      </c>
      <c r="F134" s="3" t="s">
        <v>5</v>
      </c>
      <c r="I134" s="5" t="str">
        <f t="shared" si="6"/>
        <v>Defs</v>
      </c>
      <c r="J134" t="str">
        <f>IF(Table2[[#This Row],[!Type]]=J$1, J$1,"rg:None")</f>
        <v>rg:None</v>
      </c>
      <c r="K134" t="str">
        <f>IF(Table2[[#This Row],[!Type]]=K$1, K$1,"rg:None")</f>
        <v>rg:None</v>
      </c>
      <c r="L134" t="str">
        <f>IF(Table2[[#This Row],[!Type]]=L$1, L$1,"rg:None")</f>
        <v>rg:None</v>
      </c>
      <c r="M134" t="str">
        <f>IF(Table2[[#This Row],[!Type]]=M$1, M$1,"rg:None")</f>
        <v>rg:None</v>
      </c>
      <c r="N134" s="9" t="str">
        <f>IF(Table2[[#This Row],[!Type]]=N$1, N$1,"rg:None")</f>
        <v>rg:None</v>
      </c>
      <c r="O134" s="9"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table</v>
      </c>
      <c r="T134" s="9" t="str">
        <f>IF(LEN(Table2[[#This Row],[!Length]]) &gt; 0, Table2[[#This Row],[!Length]], "rg:None")</f>
        <v>rg:None</v>
      </c>
      <c r="U134" s="9" t="str">
        <f>IF(LEN(Table2[[#This Row],[!Name]]) &gt; 0, Table2[[#This Row],[!Name]], "rg:None")</f>
        <v>Permission</v>
      </c>
      <c r="V134"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34" s="9" t="str">
        <f>IF(LEN(Table2[[#This Row],[!FK]])&gt;0,Table2[[#This Row],[!FK]],"rg:None")</f>
        <v>rg:None</v>
      </c>
      <c r="X134" s="9" t="str">
        <f>IF(LEN(concatif2(A:A,Table2[[#This Row],[!Table]],G:G,"Y",D:D,",")) &gt; 0,"rg:[ { 'req' : '"&amp;concatif2(A:A,Table2[[#This Row],[!Table]],G:G,"Y",D:D,"' }, { 'req': '")&amp;"'} ]","rg:[]")</f>
        <v>rg:[ { 'req' : 'id' }, { 'req': 'code' }, { 'req': 'name' }, { 'req': 'description'} ]</v>
      </c>
      <c r="Y134" s="9" t="str">
        <f>IF(LEN(Table2[[#This Row],[!Unique]])&gt;0,IF(Table2[[#This Row],[!Type]] = "id", "rg:None","rg:True"),"rg:None")</f>
        <v>rg:None</v>
      </c>
    </row>
    <row r="135" spans="1:25" s="4" customFormat="1" x14ac:dyDescent="0.35">
      <c r="A135" s="3" t="s">
        <v>64</v>
      </c>
      <c r="B135" s="3" t="s">
        <v>6</v>
      </c>
      <c r="C135" s="3"/>
      <c r="D135" s="3" t="s">
        <v>6</v>
      </c>
      <c r="E135" s="23" t="s">
        <v>139</v>
      </c>
      <c r="F135" s="3" t="s">
        <v>5</v>
      </c>
      <c r="G135" s="4" t="s">
        <v>69</v>
      </c>
      <c r="H135" s="50" t="s">
        <v>69</v>
      </c>
      <c r="I135" s="5" t="str">
        <f t="shared" si="6"/>
        <v>Defs</v>
      </c>
      <c r="J135" t="str">
        <f>IF(Table2[[#This Row],[!Type]]=J$1, J$1,"rg:None")</f>
        <v>rg:None</v>
      </c>
      <c r="K135" t="str">
        <f>IF(Table2[[#This Row],[!Type]]=K$1, K$1,"rg:None")</f>
        <v>rg:None</v>
      </c>
      <c r="L135" t="str">
        <f>IF(Table2[[#This Row],[!Type]]=L$1, L$1,"rg:None")</f>
        <v>rg:None</v>
      </c>
      <c r="M135" t="str">
        <f>IF(Table2[[#This Row],[!Type]]=M$1, M$1,"rg:None")</f>
        <v>id</v>
      </c>
      <c r="N135" s="9" t="str">
        <f>IF(Table2[[#This Row],[!Type]]=N$1, N$1,"rg:None")</f>
        <v>rg:None</v>
      </c>
      <c r="O135" s="9"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9" t="str">
        <f>IF(LEN(Table2[[#This Row],[!Length]]) &gt; 0, Table2[[#This Row],[!Length]], "rg:None")</f>
        <v>rg:None</v>
      </c>
      <c r="U135" s="9" t="str">
        <f>IF(LEN(Table2[[#This Row],[!Name]]) &gt; 0, Table2[[#This Row],[!Name]], "rg:None")</f>
        <v>id</v>
      </c>
      <c r="V135" s="9" t="str">
        <f>IF(LEN(Table2[[#This Row],[!Description]]) &gt; 0, Table2[[#This Row],[!Description]], "rg:None")</f>
        <v>A system-generated unique identifier for a Permission</v>
      </c>
      <c r="W135" s="9" t="str">
        <f>IF(LEN(Table2[[#This Row],[!FK]])&gt;0,Table2[[#This Row],[!FK]],"rg:None")</f>
        <v>rg:None</v>
      </c>
      <c r="X135" s="9" t="str">
        <f>IF(LEN(concatif2(A:A,Table2[[#This Row],[!Table]],G:G,"Y",D:D,",")) &gt; 0,"rg:[ { 'req' : '"&amp;concatif2(A:A,Table2[[#This Row],[!Table]],G:G,"Y",D:D,"' }, { 'req': '")&amp;"'} ]","rg:[]")</f>
        <v>rg:[ { 'req' : 'id' }, { 'req': 'code' }, { 'req': 'name' }, { 'req': 'description'} ]</v>
      </c>
      <c r="Y135" s="9" t="str">
        <f>IF(LEN(Table2[[#This Row],[!Unique]])&gt;0,IF(Table2[[#This Row],[!Type]] = "id", "rg:None","rg:True"),"rg:None")</f>
        <v>rg:None</v>
      </c>
    </row>
    <row r="136" spans="1:25" s="4" customFormat="1" x14ac:dyDescent="0.35">
      <c r="A136" s="3" t="s">
        <v>64</v>
      </c>
      <c r="B136" s="3" t="s">
        <v>7</v>
      </c>
      <c r="C136" s="3"/>
      <c r="D136" s="3" t="s">
        <v>65</v>
      </c>
      <c r="E136" s="30" t="s">
        <v>160</v>
      </c>
      <c r="F136" s="3" t="s">
        <v>5</v>
      </c>
      <c r="G136" s="4" t="s">
        <v>69</v>
      </c>
      <c r="I136" s="5" t="str">
        <f t="shared" si="6"/>
        <v>Defs</v>
      </c>
      <c r="J136" t="str">
        <f>IF(Table2[[#This Row],[!Type]]=J$1, J$1,"rg:None")</f>
        <v>rg:None</v>
      </c>
      <c r="K136" t="str">
        <f>IF(Table2[[#This Row],[!Type]]=K$1, K$1,"rg:None")</f>
        <v>rg:None</v>
      </c>
      <c r="L136" t="str">
        <f>IF(Table2[[#This Row],[!Type]]=L$1, L$1,"rg:None")</f>
        <v>rg:None</v>
      </c>
      <c r="M136" t="str">
        <f>IF(Table2[[#This Row],[!Type]]=M$1, M$1,"rg:None")</f>
        <v>rg:None</v>
      </c>
      <c r="N136" s="9" t="str">
        <f>IF(Table2[[#This Row],[!Type]]=N$1, N$1,"rg:None")</f>
        <v>rg:None</v>
      </c>
      <c r="O136" s="9" t="str">
        <f>IF(Table2[[#This Row],[!Type]]=O$1, O$1,"rg:None")</f>
        <v>rg:None</v>
      </c>
      <c r="P136" s="5" t="str">
        <f>IF(Table2[[#This Row],[!Type]]=P$1, P$1,"rg:None")</f>
        <v>rg:None</v>
      </c>
      <c r="Q136" s="5" t="str">
        <f>IF(Table2[[#This Row],[!Type]]=Q$1, Q$1,"rg:None")</f>
        <v>rg:None</v>
      </c>
      <c r="R136" s="5" t="str">
        <f>IF(Table2[[#This Row],[!Type]]=R$1, R$1,"rg:None")</f>
        <v>string</v>
      </c>
      <c r="S136" s="5" t="str">
        <f>IF(Table2[[#This Row],[!Type]]=S$1, S$1,"rg:None")</f>
        <v>rg:None</v>
      </c>
      <c r="T136" s="9" t="str">
        <f>IF(LEN(Table2[[#This Row],[!Length]]) &gt; 0, Table2[[#This Row],[!Length]], "rg:None")</f>
        <v>rg:None</v>
      </c>
      <c r="U136" s="9" t="str">
        <f>IF(LEN(Table2[[#This Row],[!Name]]) &gt; 0, Table2[[#This Row],[!Name]], "rg:None")</f>
        <v>code</v>
      </c>
      <c r="V136" s="9" t="str">
        <f>IF(LEN(Table2[[#This Row],[!Description]]) &gt; 0, Table2[[#This Row],[!Description]], "rg:None")</f>
        <v>The name of the permission referenced in the software of the application.</v>
      </c>
      <c r="W136" s="9" t="str">
        <f>IF(LEN(Table2[[#This Row],[!FK]])&gt;0,Table2[[#This Row],[!FK]],"rg:None")</f>
        <v>rg:None</v>
      </c>
      <c r="X136" s="9" t="str">
        <f>IF(LEN(concatif2(A:A,Table2[[#This Row],[!Table]],G:G,"Y",D:D,",")) &gt; 0,"rg:[ { 'req' : '"&amp;concatif2(A:A,Table2[[#This Row],[!Table]],G:G,"Y",D:D,"' }, { 'req': '")&amp;"'} ]","rg:[]")</f>
        <v>rg:[ { 'req' : 'id' }, { 'req': 'code' }, { 'req': 'name' }, { 'req': 'description'} ]</v>
      </c>
      <c r="Y136" s="9" t="str">
        <f>IF(LEN(Table2[[#This Row],[!Unique]])&gt;0,IF(Table2[[#This Row],[!Type]] = "id", "rg:None","rg:True"),"rg:None")</f>
        <v>rg:None</v>
      </c>
    </row>
    <row r="137" spans="1:25" s="4" customFormat="1" x14ac:dyDescent="0.35">
      <c r="A137" s="3" t="s">
        <v>64</v>
      </c>
      <c r="B137" s="3" t="s">
        <v>7</v>
      </c>
      <c r="C137" s="3"/>
      <c r="D137" s="3" t="s">
        <v>17</v>
      </c>
      <c r="E137" s="30" t="s">
        <v>161</v>
      </c>
      <c r="F137" s="3" t="s">
        <v>5</v>
      </c>
      <c r="G137" s="4" t="s">
        <v>69</v>
      </c>
      <c r="I137" s="5" t="str">
        <f t="shared" si="6"/>
        <v>Defs</v>
      </c>
      <c r="J137" t="str">
        <f>IF(Table2[[#This Row],[!Type]]=J$1, J$1,"rg:None")</f>
        <v>rg:None</v>
      </c>
      <c r="K137" t="str">
        <f>IF(Table2[[#This Row],[!Type]]=K$1, K$1,"rg:None")</f>
        <v>rg:None</v>
      </c>
      <c r="L137" t="str">
        <f>IF(Table2[[#This Row],[!Type]]=L$1, L$1,"rg:None")</f>
        <v>rg:None</v>
      </c>
      <c r="M137" t="str">
        <f>IF(Table2[[#This Row],[!Type]]=M$1, M$1,"rg:None")</f>
        <v>rg:None</v>
      </c>
      <c r="N137" s="9" t="str">
        <f>IF(Table2[[#This Row],[!Type]]=N$1, N$1,"rg:None")</f>
        <v>rg:None</v>
      </c>
      <c r="O137" s="9"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9" t="str">
        <f>IF(LEN(Table2[[#This Row],[!Length]]) &gt; 0, Table2[[#This Row],[!Length]], "rg:None")</f>
        <v>rg:None</v>
      </c>
      <c r="U137" s="9" t="str">
        <f>IF(LEN(Table2[[#This Row],[!Name]]) &gt; 0, Table2[[#This Row],[!Name]], "rg:None")</f>
        <v>name</v>
      </c>
      <c r="V137" s="9" t="str">
        <f>IF(LEN(Table2[[#This Row],[!Description]]) &gt; 0, Table2[[#This Row],[!Description]], "rg:None")</f>
        <v>The 'user friendly' name of the permission exposed to the user selecting the permissions to be included in a Role.</v>
      </c>
      <c r="W137" s="9" t="str">
        <f>IF(LEN(Table2[[#This Row],[!FK]])&gt;0,Table2[[#This Row],[!FK]],"rg:None")</f>
        <v>rg:None</v>
      </c>
      <c r="X137" s="9" t="str">
        <f>IF(LEN(concatif2(A:A,Table2[[#This Row],[!Table]],G:G,"Y",D:D,",")) &gt; 0,"rg:[ { 'req' : '"&amp;concatif2(A:A,Table2[[#This Row],[!Table]],G:G,"Y",D:D,"' }, { 'req': '")&amp;"'} ]","rg:[]")</f>
        <v>rg:[ { 'req' : 'id' }, { 'req': 'code' }, { 'req': 'name' }, { 'req': 'description'} ]</v>
      </c>
      <c r="Y137" s="9" t="str">
        <f>IF(LEN(Table2[[#This Row],[!Unique]])&gt;0,IF(Table2[[#This Row],[!Type]] = "id", "rg:None","rg:True"),"rg:None")</f>
        <v>rg:None</v>
      </c>
    </row>
    <row r="138" spans="1:25" s="4" customFormat="1" x14ac:dyDescent="0.35">
      <c r="A138" s="3" t="s">
        <v>64</v>
      </c>
      <c r="B138" s="3" t="s">
        <v>7</v>
      </c>
      <c r="C138" s="3"/>
      <c r="D138" s="3" t="s">
        <v>15</v>
      </c>
      <c r="E138" s="30" t="s">
        <v>162</v>
      </c>
      <c r="F138" s="3" t="s">
        <v>5</v>
      </c>
      <c r="G138" s="4" t="s">
        <v>69</v>
      </c>
      <c r="I138" s="5" t="str">
        <f t="shared" si="6"/>
        <v>Defs</v>
      </c>
      <c r="J138" t="str">
        <f>IF(Table2[[#This Row],[!Type]]=J$1, J$1,"rg:None")</f>
        <v>rg:None</v>
      </c>
      <c r="K138" t="str">
        <f>IF(Table2[[#This Row],[!Type]]=K$1, K$1,"rg:None")</f>
        <v>rg:None</v>
      </c>
      <c r="L138" t="str">
        <f>IF(Table2[[#This Row],[!Type]]=L$1, L$1,"rg:None")</f>
        <v>rg:None</v>
      </c>
      <c r="M138" t="str">
        <f>IF(Table2[[#This Row],[!Type]]=M$1, M$1,"rg:None")</f>
        <v>rg:None</v>
      </c>
      <c r="N138" s="9" t="str">
        <f>IF(Table2[[#This Row],[!Type]]=N$1, N$1,"rg:None")</f>
        <v>rg:None</v>
      </c>
      <c r="O138" s="9" t="str">
        <f>IF(Table2[[#This Row],[!Type]]=O$1, O$1,"rg:None")</f>
        <v>rg:None</v>
      </c>
      <c r="P138" s="5" t="str">
        <f>IF(Table2[[#This Row],[!Type]]=P$1, P$1,"rg:None")</f>
        <v>rg:None</v>
      </c>
      <c r="Q138" s="5" t="str">
        <f>IF(Table2[[#This Row],[!Type]]=Q$1, Q$1,"rg:None")</f>
        <v>rg:None</v>
      </c>
      <c r="R138" s="5" t="str">
        <f>IF(Table2[[#This Row],[!Type]]=R$1, R$1,"rg:None")</f>
        <v>string</v>
      </c>
      <c r="S138" s="5" t="str">
        <f>IF(Table2[[#This Row],[!Type]]=S$1, S$1,"rg:None")</f>
        <v>rg:None</v>
      </c>
      <c r="T138" s="9" t="str">
        <f>IF(LEN(Table2[[#This Row],[!Length]]) &gt; 0, Table2[[#This Row],[!Length]], "rg:None")</f>
        <v>rg:None</v>
      </c>
      <c r="U138" s="9" t="str">
        <f>IF(LEN(Table2[[#This Row],[!Name]]) &gt; 0, Table2[[#This Row],[!Name]], "rg:None")</f>
        <v>description</v>
      </c>
      <c r="V138" s="9" t="str">
        <f>IF(LEN(Table2[[#This Row],[!Description]]) &gt; 0, Table2[[#This Row],[!Description]], "rg:None")</f>
        <v>A description of the purpose of the permission and exposed to the user selecting the permissions to be included in a Role.</v>
      </c>
      <c r="W138" s="9" t="str">
        <f>IF(LEN(Table2[[#This Row],[!FK]])&gt;0,Table2[[#This Row],[!FK]],"rg:None")</f>
        <v>rg:None</v>
      </c>
      <c r="X138" s="9" t="str">
        <f>IF(LEN(concatif2(A:A,Table2[[#This Row],[!Table]],G:G,"Y",D:D,",")) &gt; 0,"rg:[ { 'req' : '"&amp;concatif2(A:A,Table2[[#This Row],[!Table]],G:G,"Y",D:D,"' }, { 'req': '")&amp;"'} ]","rg:[]")</f>
        <v>rg:[ { 'req' : 'id' }, { 'req': 'code' }, { 'req': 'name' }, { 'req': 'description'} ]</v>
      </c>
      <c r="Y138" s="9" t="str">
        <f>IF(LEN(Table2[[#This Row],[!Unique]])&gt;0,IF(Table2[[#This Row],[!Type]] = "id", "rg:None","rg:True"),"rg:None")</f>
        <v>rg:None</v>
      </c>
    </row>
    <row r="139" spans="1:25" s="4" customFormat="1" x14ac:dyDescent="0.35">
      <c r="A139" s="3" t="s">
        <v>66</v>
      </c>
      <c r="B139" s="3" t="s">
        <v>4</v>
      </c>
      <c r="C139" s="3"/>
      <c r="D139" s="3" t="s">
        <v>66</v>
      </c>
      <c r="E139" s="30" t="s">
        <v>163</v>
      </c>
      <c r="F139" s="3" t="s">
        <v>5</v>
      </c>
      <c r="I139" s="5" t="str">
        <f t="shared" si="6"/>
        <v>Defs</v>
      </c>
      <c r="J139" t="str">
        <f>IF(Table2[[#This Row],[!Type]]=J$1, J$1,"rg:None")</f>
        <v>rg:None</v>
      </c>
      <c r="K139" t="str">
        <f>IF(Table2[[#This Row],[!Type]]=K$1, K$1,"rg:None")</f>
        <v>rg:None</v>
      </c>
      <c r="L139" t="str">
        <f>IF(Table2[[#This Row],[!Type]]=L$1, L$1,"rg:None")</f>
        <v>rg:None</v>
      </c>
      <c r="M139" t="str">
        <f>IF(Table2[[#This Row],[!Type]]=M$1, M$1,"rg:None")</f>
        <v>rg:None</v>
      </c>
      <c r="N139" s="9" t="str">
        <f>IF(Table2[[#This Row],[!Type]]=N$1, N$1,"rg:None")</f>
        <v>rg:None</v>
      </c>
      <c r="O139" s="9"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table</v>
      </c>
      <c r="T139" s="9" t="str">
        <f>IF(LEN(Table2[[#This Row],[!Length]]) &gt; 0, Table2[[#This Row],[!Length]], "rg:None")</f>
        <v>rg:None</v>
      </c>
      <c r="U139" s="9" t="str">
        <f>IF(LEN(Table2[[#This Row],[!Name]]) &gt; 0, Table2[[#This Row],[!Name]], "rg:None")</f>
        <v>GroupMembership</v>
      </c>
      <c r="V139" s="9" t="str">
        <f>IF(LEN(Table2[[#This Row],[!Description]]) &gt; 0, Table2[[#This Row],[!Description]], "rg:None")</f>
        <v>The users associated with a given group that has been defined in the application.</v>
      </c>
      <c r="W139" s="9" t="str">
        <f>IF(LEN(Table2[[#This Row],[!FK]])&gt;0,Table2[[#This Row],[!FK]],"rg:None")</f>
        <v>rg:None</v>
      </c>
      <c r="X139" s="9" t="str">
        <f>IF(LEN(concatif2(A:A,Table2[[#This Row],[!Table]],G:G,"Y",D:D,",")) &gt; 0,"rg:[ { 'req' : '"&amp;concatif2(A:A,Table2[[#This Row],[!Table]],G:G,"Y",D:D,"' }, { 'req': '")&amp;"'} ]","rg:[]")</f>
        <v>rg:[ { 'req' : 'id' }, { 'req': 'active'} ]</v>
      </c>
      <c r="Y139" s="9" t="str">
        <f>IF(LEN(Table2[[#This Row],[!Unique]])&gt;0,IF(Table2[[#This Row],[!Type]] = "id", "rg:None","rg:True"),"rg:None")</f>
        <v>rg:None</v>
      </c>
    </row>
    <row r="140" spans="1:25" s="4" customFormat="1" x14ac:dyDescent="0.35">
      <c r="A140" s="3" t="s">
        <v>66</v>
      </c>
      <c r="B140" s="3" t="s">
        <v>6</v>
      </c>
      <c r="C140" s="3"/>
      <c r="D140" s="3" t="s">
        <v>6</v>
      </c>
      <c r="E140" s="23" t="s">
        <v>140</v>
      </c>
      <c r="F140" s="3" t="s">
        <v>5</v>
      </c>
      <c r="G140" s="4" t="s">
        <v>69</v>
      </c>
      <c r="H140" s="50" t="s">
        <v>69</v>
      </c>
      <c r="I140" s="5" t="str">
        <f t="shared" si="6"/>
        <v>Defs</v>
      </c>
      <c r="J140" t="str">
        <f>IF(Table2[[#This Row],[!Type]]=J$1, J$1,"rg:None")</f>
        <v>rg:None</v>
      </c>
      <c r="K140" t="str">
        <f>IF(Table2[[#This Row],[!Type]]=K$1, K$1,"rg:None")</f>
        <v>rg:None</v>
      </c>
      <c r="L140" t="str">
        <f>IF(Table2[[#This Row],[!Type]]=L$1, L$1,"rg:None")</f>
        <v>rg:None</v>
      </c>
      <c r="M140" t="str">
        <f>IF(Table2[[#This Row],[!Type]]=M$1, M$1,"rg:None")</f>
        <v>id</v>
      </c>
      <c r="N140" s="9" t="str">
        <f>IF(Table2[[#This Row],[!Type]]=N$1, N$1,"rg:None")</f>
        <v>rg:None</v>
      </c>
      <c r="O140" s="9"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9" t="str">
        <f>IF(LEN(Table2[[#This Row],[!Length]]) &gt; 0, Table2[[#This Row],[!Length]], "rg:None")</f>
        <v>rg:None</v>
      </c>
      <c r="U140" s="9" t="str">
        <f>IF(LEN(Table2[[#This Row],[!Name]]) &gt; 0, Table2[[#This Row],[!Name]], "rg:None")</f>
        <v>id</v>
      </c>
      <c r="V140" s="9" t="str">
        <f>IF(LEN(Table2[[#This Row],[!Description]]) &gt; 0, Table2[[#This Row],[!Description]], "rg:None")</f>
        <v>A system-generated unique identifier for a GroupMembership</v>
      </c>
      <c r="W140" s="9" t="str">
        <f>IF(LEN(Table2[[#This Row],[!FK]])&gt;0,Table2[[#This Row],[!FK]],"rg:None")</f>
        <v>rg:None</v>
      </c>
      <c r="X140" s="9" t="str">
        <f>IF(LEN(concatif2(A:A,Table2[[#This Row],[!Table]],G:G,"Y",D:D,",")) &gt; 0,"rg:[ { 'req' : '"&amp;concatif2(A:A,Table2[[#This Row],[!Table]],G:G,"Y",D:D,"' }, { 'req': '")&amp;"'} ]","rg:[]")</f>
        <v>rg:[ { 'req' : 'id' }, { 'req': 'active'} ]</v>
      </c>
      <c r="Y140" s="9" t="str">
        <f>IF(LEN(Table2[[#This Row],[!Unique]])&gt;0,IF(Table2[[#This Row],[!Type]] = "id", "rg:None","rg:True"),"rg:None")</f>
        <v>rg:None</v>
      </c>
    </row>
    <row r="141" spans="1:25" s="4" customFormat="1" x14ac:dyDescent="0.35">
      <c r="A141" s="3" t="s">
        <v>66</v>
      </c>
      <c r="B141" s="3" t="s">
        <v>10</v>
      </c>
      <c r="C141" s="3"/>
      <c r="D141" s="3" t="s">
        <v>51</v>
      </c>
      <c r="E141" s="30" t="s">
        <v>164</v>
      </c>
      <c r="F141" s="3" t="s">
        <v>5</v>
      </c>
      <c r="G141" s="4" t="s">
        <v>69</v>
      </c>
      <c r="I141" s="5" t="str">
        <f t="shared" si="6"/>
        <v>Defs</v>
      </c>
      <c r="J141" t="str">
        <f>IF(Table2[[#This Row],[!Type]]=J$1, J$1,"rg:None")</f>
        <v>boolean</v>
      </c>
      <c r="K141" t="str">
        <f>IF(Table2[[#This Row],[!Type]]=K$1, K$1,"rg:None")</f>
        <v>rg:None</v>
      </c>
      <c r="L141" t="str">
        <f>IF(Table2[[#This Row],[!Type]]=L$1, L$1,"rg:None")</f>
        <v>rg:None</v>
      </c>
      <c r="M141" t="str">
        <f>IF(Table2[[#This Row],[!Type]]=M$1, M$1,"rg:None")</f>
        <v>rg:None</v>
      </c>
      <c r="N141" s="9" t="str">
        <f>IF(Table2[[#This Row],[!Type]]=N$1, N$1,"rg:None")</f>
        <v>rg:None</v>
      </c>
      <c r="O141" s="9"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9" t="str">
        <f>IF(LEN(Table2[[#This Row],[!Length]]) &gt; 0, Table2[[#This Row],[!Length]], "rg:None")</f>
        <v>rg:None</v>
      </c>
      <c r="U141" s="9" t="str">
        <f>IF(LEN(Table2[[#This Row],[!Name]]) &gt; 0, Table2[[#This Row],[!Name]], "rg:None")</f>
        <v>active</v>
      </c>
      <c r="V141" s="9" t="str">
        <f>IF(LEN(Table2[[#This Row],[!Description]]) &gt; 0, Table2[[#This Row],[!Description]], "rg:None")</f>
        <v>A flag indicating the User is active in the group. Set false to remove the user from the designated group.</v>
      </c>
      <c r="W141" s="9" t="str">
        <f>IF(LEN(Table2[[#This Row],[!FK]])&gt;0,Table2[[#This Row],[!FK]],"rg:None")</f>
        <v>rg:None</v>
      </c>
      <c r="X141" s="9" t="str">
        <f>IF(LEN(concatif2(A:A,Table2[[#This Row],[!Table]],G:G,"Y",D:D,",")) &gt; 0,"rg:[ { 'req' : '"&amp;concatif2(A:A,Table2[[#This Row],[!Table]],G:G,"Y",D:D,"' }, { 'req': '")&amp;"'} ]","rg:[]")</f>
        <v>rg:[ { 'req' : 'id' }, { 'req': 'active'} ]</v>
      </c>
      <c r="Y141" s="9" t="str">
        <f>IF(LEN(Table2[[#This Row],[!Unique]])&gt;0,IF(Table2[[#This Row],[!Type]] = "id", "rg:None","rg:True"),"rg:None")</f>
        <v>rg:None</v>
      </c>
    </row>
    <row r="142" spans="1:25" s="4" customFormat="1" x14ac:dyDescent="0.35">
      <c r="A142" s="3" t="s">
        <v>66</v>
      </c>
      <c r="B142" s="3" t="s">
        <v>8</v>
      </c>
      <c r="C142" s="3"/>
      <c r="D142" s="3" t="s">
        <v>67</v>
      </c>
      <c r="E142" s="42"/>
      <c r="F142" s="3" t="s">
        <v>68</v>
      </c>
      <c r="I142" s="5" t="str">
        <f t="shared" si="6"/>
        <v>Defs</v>
      </c>
      <c r="J142" t="str">
        <f>IF(Table2[[#This Row],[!Type]]=J$1, J$1,"rg:None")</f>
        <v>rg:None</v>
      </c>
      <c r="K142" t="str">
        <f>IF(Table2[[#This Row],[!Type]]=K$1, K$1,"rg:None")</f>
        <v>rg:None</v>
      </c>
      <c r="L142" t="str">
        <f>IF(Table2[[#This Row],[!Type]]=L$1, L$1,"rg:None")</f>
        <v>rg:None</v>
      </c>
      <c r="M142" t="str">
        <f>IF(Table2[[#This Row],[!Type]]=M$1, M$1,"rg:None")</f>
        <v>rg:None</v>
      </c>
      <c r="N142" s="9" t="str">
        <f>IF(Table2[[#This Row],[!Type]]=N$1, N$1,"rg:None")</f>
        <v>rg:None</v>
      </c>
      <c r="O142" s="9"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9" t="str">
        <f>IF(LEN(Table2[[#This Row],[!Length]]) &gt; 0, Table2[[#This Row],[!Length]], "rg:None")</f>
        <v>rg:None</v>
      </c>
      <c r="U142" s="9" t="str">
        <f>IF(LEN(Table2[[#This Row],[!Name]]) &gt; 0, Table2[[#This Row],[!Name]], "rg:None")</f>
        <v>group</v>
      </c>
      <c r="V142" s="9" t="str">
        <f>IF(LEN(Table2[[#This Row],[!Description]]) &gt; 0, Table2[[#This Row],[!Description]], "rg:None")</f>
        <v>rg:None</v>
      </c>
      <c r="W142" s="9" t="str">
        <f>IF(LEN(Table2[[#This Row],[!FK]])&gt;0,Table2[[#This Row],[!FK]],"rg:None")</f>
        <v>Group</v>
      </c>
      <c r="X142" s="9" t="str">
        <f>IF(LEN(concatif2(A:A,Table2[[#This Row],[!Table]],G:G,"Y",D:D,",")) &gt; 0,"rg:[ { 'req' : '"&amp;concatif2(A:A,Table2[[#This Row],[!Table]],G:G,"Y",D:D,"' }, { 'req': '")&amp;"'} ]","rg:[]")</f>
        <v>rg:[ { 'req' : 'id' }, { 'req': 'active'} ]</v>
      </c>
      <c r="Y142" s="9" t="str">
        <f>IF(LEN(Table2[[#This Row],[!Unique]])&gt;0,IF(Table2[[#This Row],[!Type]] = "id", "rg:None","rg:True"),"rg:None")</f>
        <v>rg:None</v>
      </c>
    </row>
    <row r="143" spans="1:25" s="4" customFormat="1" x14ac:dyDescent="0.35">
      <c r="A143" s="3" t="s">
        <v>66</v>
      </c>
      <c r="B143" s="3" t="s">
        <v>8</v>
      </c>
      <c r="C143" s="3"/>
      <c r="D143" s="3" t="s">
        <v>48</v>
      </c>
      <c r="E143" s="42"/>
      <c r="F143" s="3" t="s">
        <v>0</v>
      </c>
      <c r="I143" s="5" t="str">
        <f t="shared" si="6"/>
        <v>Defs</v>
      </c>
      <c r="J143" t="str">
        <f>IF(Table2[[#This Row],[!Type]]=J$1, J$1,"rg:None")</f>
        <v>rg:None</v>
      </c>
      <c r="K143" t="str">
        <f>IF(Table2[[#This Row],[!Type]]=K$1, K$1,"rg:None")</f>
        <v>rg:None</v>
      </c>
      <c r="L143" t="str">
        <f>IF(Table2[[#This Row],[!Type]]=L$1, L$1,"rg:None")</f>
        <v>rg:None</v>
      </c>
      <c r="M143" t="str">
        <f>IF(Table2[[#This Row],[!Type]]=M$1, M$1,"rg:None")</f>
        <v>rg:None</v>
      </c>
      <c r="N143" s="9" t="str">
        <f>IF(Table2[[#This Row],[!Type]]=N$1, N$1,"rg:None")</f>
        <v>rg:None</v>
      </c>
      <c r="O143" s="9" t="str">
        <f>IF(Table2[[#This Row],[!Type]]=O$1, O$1,"rg:None")</f>
        <v>rg:None</v>
      </c>
      <c r="P143" s="5" t="str">
        <f>IF(Table2[[#This Row],[!Type]]=P$1, P$1,"rg:None")</f>
        <v>rg:None</v>
      </c>
      <c r="Q143" s="5" t="str">
        <f>IF(Table2[[#This Row],[!Type]]=Q$1, Q$1,"rg:None")</f>
        <v>ref</v>
      </c>
      <c r="R143" s="5" t="str">
        <f>IF(Table2[[#This Row],[!Type]]=R$1, R$1,"rg:None")</f>
        <v>rg:None</v>
      </c>
      <c r="S143" s="5" t="str">
        <f>IF(Table2[[#This Row],[!Type]]=S$1, S$1,"rg:None")</f>
        <v>rg:None</v>
      </c>
      <c r="T143" s="9" t="str">
        <f>IF(LEN(Table2[[#This Row],[!Length]]) &gt; 0, Table2[[#This Row],[!Length]], "rg:None")</f>
        <v>rg:None</v>
      </c>
      <c r="U143" s="9" t="str">
        <f>IF(LEN(Table2[[#This Row],[!Name]]) &gt; 0, Table2[[#This Row],[!Name]], "rg:None")</f>
        <v>user</v>
      </c>
      <c r="V143" s="9" t="str">
        <f>IF(LEN(Table2[[#This Row],[!Description]]) &gt; 0, Table2[[#This Row],[!Description]], "rg:None")</f>
        <v>rg:None</v>
      </c>
      <c r="W143" s="9" t="str">
        <f>IF(LEN(Table2[[#This Row],[!FK]])&gt;0,Table2[[#This Row],[!FK]],"rg:None")</f>
        <v>User</v>
      </c>
      <c r="X143" s="9" t="str">
        <f>IF(LEN(concatif2(A:A,Table2[[#This Row],[!Table]],G:G,"Y",D:D,",")) &gt; 0,"rg:[ { 'req' : '"&amp;concatif2(A:A,Table2[[#This Row],[!Table]],G:G,"Y",D:D,"' }, { 'req': '")&amp;"'} ]","rg:[]")</f>
        <v>rg:[ { 'req' : 'id' }, { 'req': 'active'} ]</v>
      </c>
      <c r="Y143" s="9" t="str">
        <f>IF(LEN(Table2[[#This Row],[!Unique]])&gt;0,IF(Table2[[#This Row],[!Type]] = "id", "rg:None","rg:True"),"rg:None")</f>
        <v>rg:None</v>
      </c>
    </row>
    <row r="144" spans="1:25" s="4" customFormat="1" x14ac:dyDescent="0.35">
      <c r="A144" s="3" t="s">
        <v>68</v>
      </c>
      <c r="B144" s="3" t="s">
        <v>4</v>
      </c>
      <c r="C144" s="3"/>
      <c r="D144" s="3" t="s">
        <v>68</v>
      </c>
      <c r="E144" s="30" t="s">
        <v>165</v>
      </c>
      <c r="F144" s="3" t="s">
        <v>5</v>
      </c>
      <c r="I144" s="5" t="str">
        <f t="shared" si="6"/>
        <v>Defs</v>
      </c>
      <c r="J144" t="str">
        <f>IF(Table2[[#This Row],[!Type]]=J$1, J$1,"rg:None")</f>
        <v>rg:None</v>
      </c>
      <c r="K144" t="str">
        <f>IF(Table2[[#This Row],[!Type]]=K$1, K$1,"rg:None")</f>
        <v>rg:None</v>
      </c>
      <c r="L144" t="str">
        <f>IF(Table2[[#This Row],[!Type]]=L$1, L$1,"rg:None")</f>
        <v>rg:None</v>
      </c>
      <c r="M144" t="str">
        <f>IF(Table2[[#This Row],[!Type]]=M$1, M$1,"rg:None")</f>
        <v>rg:None</v>
      </c>
      <c r="N144" s="9" t="str">
        <f>IF(Table2[[#This Row],[!Type]]=N$1, N$1,"rg:None")</f>
        <v>rg:None</v>
      </c>
      <c r="O144" s="9"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table</v>
      </c>
      <c r="T144" s="9" t="str">
        <f>IF(LEN(Table2[[#This Row],[!Length]]) &gt; 0, Table2[[#This Row],[!Length]], "rg:None")</f>
        <v>rg:None</v>
      </c>
      <c r="U144" s="9" t="str">
        <f>IF(LEN(Table2[[#This Row],[!Name]]) &gt; 0, Table2[[#This Row],[!Name]], "rg:None")</f>
        <v>Group</v>
      </c>
      <c r="V144"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144" s="9" t="str">
        <f>IF(LEN(Table2[[#This Row],[!FK]])&gt;0,Table2[[#This Row],[!FK]],"rg:None")</f>
        <v>rg:None</v>
      </c>
      <c r="X144" s="9" t="str">
        <f>IF(LEN(concatif2(A:A,Table2[[#This Row],[!Table]],G:G,"Y",D:D,",")) &gt; 0,"rg:[ { 'req' : '"&amp;concatif2(A:A,Table2[[#This Row],[!Table]],G:G,"Y",D:D,"' }, { 'req': '")&amp;"'} ]","rg:[]")</f>
        <v>rg:[ { 'req' : 'id' }, { 'req': 'name' }, { 'req': 'description'} ]</v>
      </c>
      <c r="Y144" s="9" t="str">
        <f>IF(LEN(Table2[[#This Row],[!Unique]])&gt;0,IF(Table2[[#This Row],[!Type]] = "id", "rg:None","rg:True"),"rg:None")</f>
        <v>rg:None</v>
      </c>
    </row>
    <row r="145" spans="1:25" s="4" customFormat="1" x14ac:dyDescent="0.35">
      <c r="A145" s="3" t="s">
        <v>68</v>
      </c>
      <c r="B145" s="3" t="s">
        <v>6</v>
      </c>
      <c r="C145" s="3"/>
      <c r="D145" s="3" t="s">
        <v>6</v>
      </c>
      <c r="E145" s="23" t="s">
        <v>141</v>
      </c>
      <c r="F145" s="3" t="s">
        <v>5</v>
      </c>
      <c r="G145" s="4" t="s">
        <v>69</v>
      </c>
      <c r="H145" s="50" t="s">
        <v>69</v>
      </c>
      <c r="I145" s="5" t="str">
        <f t="shared" si="6"/>
        <v>Defs</v>
      </c>
      <c r="J145" t="str">
        <f>IF(Table2[[#This Row],[!Type]]=J$1, J$1,"rg:None")</f>
        <v>rg:None</v>
      </c>
      <c r="K145" t="str">
        <f>IF(Table2[[#This Row],[!Type]]=K$1, K$1,"rg:None")</f>
        <v>rg:None</v>
      </c>
      <c r="L145" t="str">
        <f>IF(Table2[[#This Row],[!Type]]=L$1, L$1,"rg:None")</f>
        <v>rg:None</v>
      </c>
      <c r="M145" t="str">
        <f>IF(Table2[[#This Row],[!Type]]=M$1, M$1,"rg:None")</f>
        <v>id</v>
      </c>
      <c r="N145" s="9" t="str">
        <f>IF(Table2[[#This Row],[!Type]]=N$1, N$1,"rg:None")</f>
        <v>rg:None</v>
      </c>
      <c r="O145" s="9"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9" t="str">
        <f>IF(LEN(Table2[[#This Row],[!Length]]) &gt; 0, Table2[[#This Row],[!Length]], "rg:None")</f>
        <v>rg:None</v>
      </c>
      <c r="U145" s="9" t="str">
        <f>IF(LEN(Table2[[#This Row],[!Name]]) &gt; 0, Table2[[#This Row],[!Name]], "rg:None")</f>
        <v>id</v>
      </c>
      <c r="V145" s="9" t="str">
        <f>IF(LEN(Table2[[#This Row],[!Description]]) &gt; 0, Table2[[#This Row],[!Description]], "rg:None")</f>
        <v>A system-generated unique identifier for a Group</v>
      </c>
      <c r="W145" s="9" t="str">
        <f>IF(LEN(Table2[[#This Row],[!FK]])&gt;0,Table2[[#This Row],[!FK]],"rg:None")</f>
        <v>rg:None</v>
      </c>
      <c r="X145" s="9" t="str">
        <f>IF(LEN(concatif2(A:A,Table2[[#This Row],[!Table]],G:G,"Y",D:D,",")) &gt; 0,"rg:[ { 'req' : '"&amp;concatif2(A:A,Table2[[#This Row],[!Table]],G:G,"Y",D:D,"' }, { 'req': '")&amp;"'} ]","rg:[]")</f>
        <v>rg:[ { 'req' : 'id' }, { 'req': 'name' }, { 'req': 'description'} ]</v>
      </c>
      <c r="Y145" s="9" t="str">
        <f>IF(LEN(Table2[[#This Row],[!Unique]])&gt;0,IF(Table2[[#This Row],[!Type]] = "id", "rg:None","rg:True"),"rg:None")</f>
        <v>rg:None</v>
      </c>
    </row>
    <row r="146" spans="1:25" s="4" customFormat="1" x14ac:dyDescent="0.35">
      <c r="A146" s="3" t="s">
        <v>68</v>
      </c>
      <c r="B146" s="3" t="s">
        <v>7</v>
      </c>
      <c r="C146" s="3"/>
      <c r="D146" s="3" t="s">
        <v>17</v>
      </c>
      <c r="E146" s="30" t="s">
        <v>166</v>
      </c>
      <c r="F146" s="3" t="s">
        <v>5</v>
      </c>
      <c r="G146" s="4" t="s">
        <v>69</v>
      </c>
      <c r="I146" s="5" t="str">
        <f t="shared" si="6"/>
        <v>Defs</v>
      </c>
      <c r="J146" t="str">
        <f>IF(Table2[[#This Row],[!Type]]=J$1, J$1,"rg:None")</f>
        <v>rg:None</v>
      </c>
      <c r="K146" t="str">
        <f>IF(Table2[[#This Row],[!Type]]=K$1, K$1,"rg:None")</f>
        <v>rg:None</v>
      </c>
      <c r="L146" t="str">
        <f>IF(Table2[[#This Row],[!Type]]=L$1, L$1,"rg:None")</f>
        <v>rg:None</v>
      </c>
      <c r="M146" t="str">
        <f>IF(Table2[[#This Row],[!Type]]=M$1, M$1,"rg:None")</f>
        <v>rg:None</v>
      </c>
      <c r="N146" s="9" t="str">
        <f>IF(Table2[[#This Row],[!Type]]=N$1, N$1,"rg:None")</f>
        <v>rg:None</v>
      </c>
      <c r="O146" s="9"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9" t="str">
        <f>IF(LEN(Table2[[#This Row],[!Length]]) &gt; 0, Table2[[#This Row],[!Length]], "rg:None")</f>
        <v>rg:None</v>
      </c>
      <c r="U146" s="9" t="str">
        <f>IF(LEN(Table2[[#This Row],[!Name]]) &gt; 0, Table2[[#This Row],[!Name]], "rg:None")</f>
        <v>name</v>
      </c>
      <c r="V146" s="9" t="str">
        <f>IF(LEN(Table2[[#This Row],[!Description]]) &gt; 0, Table2[[#This Row],[!Description]], "rg:None")</f>
        <v>The name of the group, as refenced in the code.</v>
      </c>
      <c r="W146" s="9" t="str">
        <f>IF(LEN(Table2[[#This Row],[!FK]])&gt;0,Table2[[#This Row],[!FK]],"rg:None")</f>
        <v>rg:None</v>
      </c>
      <c r="X146" s="9" t="str">
        <f>IF(LEN(concatif2(A:A,Table2[[#This Row],[!Table]],G:G,"Y",D:D,",")) &gt; 0,"rg:[ { 'req' : '"&amp;concatif2(A:A,Table2[[#This Row],[!Table]],G:G,"Y",D:D,"' }, { 'req': '")&amp;"'} ]","rg:[]")</f>
        <v>rg:[ { 'req' : 'id' }, { 'req': 'name' }, { 'req': 'description'} ]</v>
      </c>
      <c r="Y146" s="9" t="str">
        <f>IF(LEN(Table2[[#This Row],[!Unique]])&gt;0,IF(Table2[[#This Row],[!Type]] = "id", "rg:None","rg:True"),"rg:None")</f>
        <v>rg:None</v>
      </c>
    </row>
    <row r="147" spans="1:25" s="4" customFormat="1" x14ac:dyDescent="0.35">
      <c r="A147" s="3" t="s">
        <v>68</v>
      </c>
      <c r="B147" s="3" t="s">
        <v>7</v>
      </c>
      <c r="C147" s="3"/>
      <c r="D147" s="3" t="s">
        <v>15</v>
      </c>
      <c r="E147" s="30" t="s">
        <v>167</v>
      </c>
      <c r="F147" s="3" t="s">
        <v>5</v>
      </c>
      <c r="G147" s="4" t="s">
        <v>69</v>
      </c>
      <c r="I147" s="5" t="str">
        <f t="shared" si="6"/>
        <v>Defs</v>
      </c>
      <c r="J147" t="str">
        <f>IF(Table2[[#This Row],[!Type]]=J$1, J$1,"rg:None")</f>
        <v>rg:None</v>
      </c>
      <c r="K147" t="str">
        <f>IF(Table2[[#This Row],[!Type]]=K$1, K$1,"rg:None")</f>
        <v>rg:None</v>
      </c>
      <c r="L147" t="str">
        <f>IF(Table2[[#This Row],[!Type]]=L$1, L$1,"rg:None")</f>
        <v>rg:None</v>
      </c>
      <c r="M147" t="str">
        <f>IF(Table2[[#This Row],[!Type]]=M$1, M$1,"rg:None")</f>
        <v>rg:None</v>
      </c>
      <c r="N147" s="9" t="str">
        <f>IF(Table2[[#This Row],[!Type]]=N$1, N$1,"rg:None")</f>
        <v>rg:None</v>
      </c>
      <c r="O147" s="9"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9" t="str">
        <f>IF(LEN(Table2[[#This Row],[!Length]]) &gt; 0, Table2[[#This Row],[!Length]], "rg:None")</f>
        <v>rg:None</v>
      </c>
      <c r="U147" s="9" t="str">
        <f>IF(LEN(Table2[[#This Row],[!Name]]) &gt; 0, Table2[[#This Row],[!Name]], "rg:None")</f>
        <v>description</v>
      </c>
      <c r="V147" s="9" t="str">
        <f>IF(LEN(Table2[[#This Row],[!Description]]) &gt; 0, Table2[[#This Row],[!Description]], "rg:None")</f>
        <v>A description of the group that is presented to the user when they are setting a user into a group.</v>
      </c>
      <c r="W147" s="9" t="str">
        <f>IF(LEN(Table2[[#This Row],[!FK]])&gt;0,Table2[[#This Row],[!FK]],"rg:None")</f>
        <v>rg:None</v>
      </c>
      <c r="X147" s="9" t="str">
        <f>IF(LEN(concatif2(A:A,Table2[[#This Row],[!Table]],G:G,"Y",D:D,",")) &gt; 0,"rg:[ { 'req' : '"&amp;concatif2(A:A,Table2[[#This Row],[!Table]],G:G,"Y",D:D,"' }, { 'req': '")&amp;"'} ]","rg:[]")</f>
        <v>rg:[ { 'req' : 'id' }, { 'req': 'name' }, { 'req': 'description'} ]</v>
      </c>
      <c r="Y147" s="9" t="str">
        <f>IF(LEN(Table2[[#This Row],[!Unique]])&gt;0,IF(Table2[[#This Row],[!Type]] = "id", "rg:None","rg:True"),"rg:None")</f>
        <v>rg:None</v>
      </c>
    </row>
    <row r="148" spans="1:25" x14ac:dyDescent="0.35">
      <c r="A148" s="43" t="s">
        <v>188</v>
      </c>
      <c r="B148" s="43" t="s">
        <v>4</v>
      </c>
      <c r="D148" s="43" t="s">
        <v>188</v>
      </c>
      <c r="E148" s="43" t="s">
        <v>213</v>
      </c>
      <c r="F148" s="6"/>
      <c r="G148" s="16"/>
      <c r="H148" s="16"/>
      <c r="I148" s="4" t="str">
        <f t="shared" ref="I148:I163" si="7">IF(LEN(A148) &gt; 0,"Defs","-")</f>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table</v>
      </c>
      <c r="T148" s="4" t="str">
        <f>IF(LEN(Table2[[#This Row],[!Length]]) &gt; 0, Table2[[#This Row],[!Length]], "rg:None")</f>
        <v>rg:None</v>
      </c>
      <c r="U148" s="4" t="str">
        <f>IF(LEN(Table2[[#This Row],[!Name]]) &gt; 0, Table2[[#This Row],[!Name]], "rg:None")</f>
        <v>Audit</v>
      </c>
      <c r="V148" s="4" t="str">
        <f>IF(LEN(Table2[[#This Row],[!Description]]) &gt; 0, Table2[[#This Row],[!Description]], "rg:None")</f>
        <v>Server generated audit log</v>
      </c>
      <c r="W148" s="14" t="str">
        <f>IF(LEN(Table2[[#This Row],[!FK]])&gt;0,Table2[[#This Row],[!FK]],"rg:None")</f>
        <v>rg:None</v>
      </c>
      <c r="X148" s="4" t="str">
        <f>IF(LEN(concatif2(A:A,Table2[[#This Row],[!Table]],G:G,"Y",D:D,",")) &gt; 0,"rg:[ { 'req' : '"&amp;concatif2(A:A,Table2[[#This Row],[!Table]],G:G,"Y",D:D,"' }, { 'req': '")&amp;"'} ]","rg:[]")</f>
        <v>rg:[ { 'req' : 'id'} ]</v>
      </c>
      <c r="Y148" s="14" t="str">
        <f>IF(LEN(Table2[[#This Row],[!Unique]])&gt;0,IF(Table2[[#This Row],[!Type]] = "id", "rg:None","rg:True"),"rg:None")</f>
        <v>rg:None</v>
      </c>
    </row>
    <row r="149" spans="1:25" x14ac:dyDescent="0.3">
      <c r="A149" s="43" t="s">
        <v>188</v>
      </c>
      <c r="B149" s="43" t="s">
        <v>6</v>
      </c>
      <c r="D149" s="43" t="s">
        <v>6</v>
      </c>
      <c r="E149" s="44" t="s">
        <v>212</v>
      </c>
      <c r="F149" s="6"/>
      <c r="G149" s="45" t="s">
        <v>69</v>
      </c>
      <c r="H149" s="51" t="s">
        <v>69</v>
      </c>
      <c r="I149" s="4" t="str">
        <f t="shared" si="7"/>
        <v>Defs</v>
      </c>
      <c r="J149" s="4" t="str">
        <f>IF(Table2[[#This Row],[!Type]]=J$1, J$1,"rg:None")</f>
        <v>rg:None</v>
      </c>
      <c r="K149" s="4" t="str">
        <f>IF(Table2[[#This Row],[!Type]]=K$1, K$1,"rg:None")</f>
        <v>rg:None</v>
      </c>
      <c r="L149" s="4" t="str">
        <f>IF(Table2[[#This Row],[!Type]]=L$1, L$1,"rg:None")</f>
        <v>rg:None</v>
      </c>
      <c r="M149" s="4" t="str">
        <f>IF(Table2[[#This Row],[!Type]]=M$1, M$1,"rg:None")</f>
        <v>id</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id</v>
      </c>
      <c r="V149" s="4" t="str">
        <f>IF(LEN(Table2[[#This Row],[!Description]]) &gt; 0, Table2[[#This Row],[!Description]], "rg:None")</f>
        <v>A system-generated unique identifier for an Audit</v>
      </c>
      <c r="W149" s="14" t="str">
        <f>IF(LEN(Table2[[#This Row],[!FK]])&gt;0,Table2[[#This Row],[!FK]],"rg:None")</f>
        <v>rg:None</v>
      </c>
      <c r="X149" s="4" t="str">
        <f>IF(LEN(concatif2(A:A,Table2[[#This Row],[!Table]],G:G,"Y",D:D,",")) &gt; 0,"rg:[ { 'req' : '"&amp;concatif2(A:A,Table2[[#This Row],[!Table]],G:G,"Y",D:D,"' }, { 'req': '")&amp;"'} ]","rg:[]")</f>
        <v>rg:[ { 'req' : 'id'} ]</v>
      </c>
      <c r="Y149" s="14" t="str">
        <f>IF(LEN(Table2[[#This Row],[!Unique]])&gt;0,IF(Table2[[#This Row],[!Type]] = "id", "rg:None","rg:True"),"rg:None")</f>
        <v>rg:None</v>
      </c>
    </row>
    <row r="150" spans="1:25" x14ac:dyDescent="0.35">
      <c r="A150" s="43" t="s">
        <v>188</v>
      </c>
      <c r="B150" s="43" t="s">
        <v>11</v>
      </c>
      <c r="D150" s="43" t="s">
        <v>194</v>
      </c>
      <c r="E150" s="43" t="s">
        <v>195</v>
      </c>
      <c r="F150" s="6"/>
      <c r="G150" s="16"/>
      <c r="H150" s="16"/>
      <c r="I150" s="4" t="str">
        <f t="shared" si="7"/>
        <v>Defs</v>
      </c>
      <c r="J150" s="4" t="str">
        <f>IF(Table2[[#This Row],[!Type]]=J$1, J$1,"rg:None")</f>
        <v>rg:None</v>
      </c>
      <c r="K150" s="4" t="str">
        <f>IF(Table2[[#This Row],[!Type]]=K$1, K$1,"rg:None")</f>
        <v>rg:None</v>
      </c>
      <c r="L150" s="4" t="str">
        <f>IF(Table2[[#This Row],[!Type]]=L$1, L$1,"rg:None")</f>
        <v>datetime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rg:None</v>
      </c>
      <c r="T150" s="4" t="str">
        <f>IF(LEN(Table2[[#This Row],[!Length]]) &gt; 0, Table2[[#This Row],[!Length]], "rg:None")</f>
        <v>rg:None</v>
      </c>
      <c r="U150" s="4" t="str">
        <f>IF(LEN(Table2[[#This Row],[!Name]]) &gt; 0, Table2[[#This Row],[!Name]], "rg:None")</f>
        <v>appCreateTimestamp</v>
      </c>
      <c r="V150" s="4" t="str">
        <f>IF(LEN(Table2[[#This Row],[!Description]]) &gt; 0, Table2[[#This Row],[!Description]], "rg:None")</f>
        <v xml:space="preserve">The date and time of the application action that created the record. </v>
      </c>
      <c r="W150" s="14" t="str">
        <f>IF(LEN(Table2[[#This Row],[!FK]])&gt;0,Table2[[#This Row],[!FK]],"rg:None")</f>
        <v>rg:None</v>
      </c>
      <c r="X150" s="4" t="str">
        <f>IF(LEN(concatif2(A:A,Table2[[#This Row],[!Table]],G:G,"Y",D:D,",")) &gt; 0,"rg:[ { 'req' : '"&amp;concatif2(A:A,Table2[[#This Row],[!Table]],G:G,"Y",D:D,"' }, { 'req': '")&amp;"'} ]","rg:[]")</f>
        <v>rg:[ { 'req' : 'id'} ]</v>
      </c>
      <c r="Y150" s="14" t="str">
        <f>IF(LEN(Table2[[#This Row],[!Unique]])&gt;0,IF(Table2[[#This Row],[!Type]] = "id", "rg:None","rg:True"),"rg:None")</f>
        <v>rg:None</v>
      </c>
    </row>
    <row r="151" spans="1:25" x14ac:dyDescent="0.35">
      <c r="A151" s="43" t="s">
        <v>188</v>
      </c>
      <c r="B151" s="43" t="s">
        <v>7</v>
      </c>
      <c r="D151" s="43" t="s">
        <v>205</v>
      </c>
      <c r="E151" s="43" t="s">
        <v>196</v>
      </c>
      <c r="F151" s="6"/>
      <c r="G151" s="16"/>
      <c r="H151" s="16"/>
      <c r="I151" s="4" t="str">
        <f t="shared" si="7"/>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t="str">
        <f>IF(LEN(Table2[[#This Row],[!Length]]) &gt; 0, Table2[[#This Row],[!Length]], "rg:None")</f>
        <v>rg:None</v>
      </c>
      <c r="U151" s="4" t="str">
        <f>IF(LEN(Table2[[#This Row],[!Name]]) &gt; 0, Table2[[#This Row],[!Name]], "rg:None")</f>
        <v>appCreateUserid</v>
      </c>
      <c r="V151" s="4" t="str">
        <f>IF(LEN(Table2[[#This Row],[!Description]]) &gt; 0, Table2[[#This Row],[!Description]], "rg:None")</f>
        <v xml:space="preserve">The user account name of the application user who performed the action that created the record (e.g. JSMITH). This value is not preceded by the directory name. </v>
      </c>
      <c r="W151" s="14" t="str">
        <f>IF(LEN(Table2[[#This Row],[!FK]])&gt;0,Table2[[#This Row],[!FK]],"rg:None")</f>
        <v>rg:None</v>
      </c>
      <c r="X151" s="4" t="str">
        <f>IF(LEN(concatif2(A:A,Table2[[#This Row],[!Table]],G:G,"Y",D:D,",")) &gt; 0,"rg:[ { 'req' : '"&amp;concatif2(A:A,Table2[[#This Row],[!Table]],G:G,"Y",D:D,"' }, { 'req': '")&amp;"'} ]","rg:[]")</f>
        <v>rg:[ { 'req' : 'id'} ]</v>
      </c>
      <c r="Y151" s="14" t="str">
        <f>IF(LEN(Table2[[#This Row],[!Unique]])&gt;0,IF(Table2[[#This Row],[!Type]] = "id", "rg:None","rg:True"),"rg:None")</f>
        <v>rg:None</v>
      </c>
    </row>
    <row r="152" spans="1:25" x14ac:dyDescent="0.35">
      <c r="A152" s="43" t="s">
        <v>188</v>
      </c>
      <c r="B152" s="43" t="s">
        <v>7</v>
      </c>
      <c r="D152" s="43" t="s">
        <v>198</v>
      </c>
      <c r="E152" s="43" t="s">
        <v>197</v>
      </c>
      <c r="F152" s="6"/>
      <c r="G152" s="16"/>
      <c r="H152" s="16"/>
      <c r="I152" s="4" t="str">
        <f t="shared" si="7"/>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t="str">
        <f>IF(LEN(Table2[[#This Row],[!Length]]) &gt; 0, Table2[[#This Row],[!Length]], "rg:None")</f>
        <v>rg:None</v>
      </c>
      <c r="U152" s="4" t="str">
        <f>IF(LEN(Table2[[#This Row],[!Name]]) &gt; 0, Table2[[#This Row],[!Name]], "rg:None")</f>
        <v>appCreateUserGuid</v>
      </c>
      <c r="V152"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52" s="14" t="str">
        <f>IF(LEN(Table2[[#This Row],[!FK]])&gt;0,Table2[[#This Row],[!FK]],"rg:None")</f>
        <v>rg:None</v>
      </c>
      <c r="X152" s="4" t="str">
        <f>IF(LEN(concatif2(A:A,Table2[[#This Row],[!Table]],G:G,"Y",D:D,",")) &gt; 0,"rg:[ { 'req' : '"&amp;concatif2(A:A,Table2[[#This Row],[!Table]],G:G,"Y",D:D,"' }, { 'req': '")&amp;"'} ]","rg:[]")</f>
        <v>rg:[ { 'req' : 'id'} ]</v>
      </c>
      <c r="Y152" s="14" t="str">
        <f>IF(LEN(Table2[[#This Row],[!Unique]])&gt;0,IF(Table2[[#This Row],[!Type]] = "id", "rg:None","rg:True"),"rg:None")</f>
        <v>rg:None</v>
      </c>
    </row>
    <row r="153" spans="1:25" x14ac:dyDescent="0.35">
      <c r="A153" s="43" t="s">
        <v>188</v>
      </c>
      <c r="B153" s="43" t="s">
        <v>7</v>
      </c>
      <c r="D153" s="43" t="s">
        <v>199</v>
      </c>
      <c r="E153" s="43" t="s">
        <v>200</v>
      </c>
      <c r="F153" s="6"/>
      <c r="G153" s="16"/>
      <c r="H153" s="16"/>
      <c r="I153" s="4" t="str">
        <f t="shared" si="7"/>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t="str">
        <f>IF(LEN(Table2[[#This Row],[!Length]]) &gt; 0, Table2[[#This Row],[!Length]], "rg:None")</f>
        <v>rg:None</v>
      </c>
      <c r="U153" s="4" t="str">
        <f>IF(LEN(Table2[[#This Row],[!Name]]) &gt; 0, Table2[[#This Row],[!Name]], "rg:None")</f>
        <v>appCreateUserDirectory</v>
      </c>
      <c r="V153" s="4" t="str">
        <f>IF(LEN(Table2[[#This Row],[!Description]]) &gt; 0, Table2[[#This Row],[!Description]], "rg:None")</f>
        <v xml:space="preserve">The directory in which APP_CREATE_USERID is defined. Valid values are 'IDIR', ' BCEID' or 'ORACLE'. </v>
      </c>
      <c r="W153" s="14" t="str">
        <f>IF(LEN(Table2[[#This Row],[!FK]])&gt;0,Table2[[#This Row],[!FK]],"rg:None")</f>
        <v>rg:None</v>
      </c>
      <c r="X153" s="4" t="str">
        <f>IF(LEN(concatif2(A:A,Table2[[#This Row],[!Table]],G:G,"Y",D:D,",")) &gt; 0,"rg:[ { 'req' : '"&amp;concatif2(A:A,Table2[[#This Row],[!Table]],G:G,"Y",D:D,"' }, { 'req': '")&amp;"'} ]","rg:[]")</f>
        <v>rg:[ { 'req' : 'id'} ]</v>
      </c>
      <c r="Y153" s="14" t="str">
        <f>IF(LEN(Table2[[#This Row],[!Unique]])&gt;0,IF(Table2[[#This Row],[!Type]] = "id", "rg:None","rg:True"),"rg:None")</f>
        <v>rg:None</v>
      </c>
    </row>
    <row r="154" spans="1:25" x14ac:dyDescent="0.35">
      <c r="A154" s="43" t="s">
        <v>188</v>
      </c>
      <c r="B154" s="43" t="s">
        <v>11</v>
      </c>
      <c r="D154" s="43" t="s">
        <v>201</v>
      </c>
      <c r="E154" s="43" t="s">
        <v>202</v>
      </c>
      <c r="F154" s="6"/>
      <c r="G154" s="16"/>
      <c r="H154" s="16"/>
      <c r="I154" s="4" t="str">
        <f t="shared" si="7"/>
        <v>Defs</v>
      </c>
      <c r="J154" s="4" t="str">
        <f>IF(Table2[[#This Row],[!Type]]=J$1, J$1,"rg:None")</f>
        <v>rg:None</v>
      </c>
      <c r="K154" s="4" t="str">
        <f>IF(Table2[[#This Row],[!Type]]=K$1, K$1,"rg:None")</f>
        <v>rg:None</v>
      </c>
      <c r="L154" s="4" t="str">
        <f>IF(Table2[[#This Row],[!Type]]=L$1, L$1,"rg:None")</f>
        <v>datetime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appLastUpdateTimestamp</v>
      </c>
      <c r="V154" s="4" t="str">
        <f>IF(LEN(Table2[[#This Row],[!Description]]) &gt; 0, Table2[[#This Row],[!Description]], "rg:None")</f>
        <v>The date and time of the application action that created or last updated the record.</v>
      </c>
      <c r="W154" s="14" t="str">
        <f>IF(LEN(Table2[[#This Row],[!FK]])&gt;0,Table2[[#This Row],[!FK]],"rg:None")</f>
        <v>rg:None</v>
      </c>
      <c r="X154" s="4" t="str">
        <f>IF(LEN(concatif2(A:A,Table2[[#This Row],[!Table]],G:G,"Y",D:D,",")) &gt; 0,"rg:[ { 'req' : '"&amp;concatif2(A:A,Table2[[#This Row],[!Table]],G:G,"Y",D:D,"' }, { 'req': '")&amp;"'} ]","rg:[]")</f>
        <v>rg:[ { 'req' : 'id'} ]</v>
      </c>
      <c r="Y154" s="14" t="str">
        <f>IF(LEN(Table2[[#This Row],[!Unique]])&gt;0,IF(Table2[[#This Row],[!Type]] = "id", "rg:None","rg:True"),"rg:None")</f>
        <v>rg:None</v>
      </c>
    </row>
    <row r="155" spans="1:25" x14ac:dyDescent="0.35">
      <c r="A155" s="43" t="s">
        <v>188</v>
      </c>
      <c r="B155" s="43" t="s">
        <v>7</v>
      </c>
      <c r="D155" s="43" t="s">
        <v>204</v>
      </c>
      <c r="E155" s="5" t="s">
        <v>197</v>
      </c>
      <c r="F155" s="6"/>
      <c r="G155" s="16"/>
      <c r="H155" s="16"/>
      <c r="I155" s="4" t="str">
        <f t="shared" si="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t="str">
        <f>IF(LEN(Table2[[#This Row],[!Length]]) &gt; 0, Table2[[#This Row],[!Length]], "rg:None")</f>
        <v>rg:None</v>
      </c>
      <c r="U155" s="4" t="str">
        <f>IF(LEN(Table2[[#This Row],[!Name]]) &gt; 0, Table2[[#This Row],[!Name]], "rg:None")</f>
        <v>appLastUpdateUserid</v>
      </c>
      <c r="V155"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55" s="14" t="str">
        <f>IF(LEN(Table2[[#This Row],[!FK]])&gt;0,Table2[[#This Row],[!FK]],"rg:None")</f>
        <v>rg:None</v>
      </c>
      <c r="X155" s="4" t="str">
        <f>IF(LEN(concatif2(A:A,Table2[[#This Row],[!Table]],G:G,"Y",D:D,",")) &gt; 0,"rg:[ { 'req' : '"&amp;concatif2(A:A,Table2[[#This Row],[!Table]],G:G,"Y",D:D,"' }, { 'req': '")&amp;"'} ]","rg:[]")</f>
        <v>rg:[ { 'req' : 'id'} ]</v>
      </c>
      <c r="Y155" s="14" t="str">
        <f>IF(LEN(Table2[[#This Row],[!Unique]])&gt;0,IF(Table2[[#This Row],[!Type]] = "id", "rg:None","rg:True"),"rg:None")</f>
        <v>rg:None</v>
      </c>
    </row>
    <row r="156" spans="1:25" x14ac:dyDescent="0.35">
      <c r="A156" s="43" t="s">
        <v>188</v>
      </c>
      <c r="B156" s="43" t="s">
        <v>7</v>
      </c>
      <c r="D156" s="43" t="s">
        <v>203</v>
      </c>
      <c r="E156" s="5" t="s">
        <v>211</v>
      </c>
      <c r="F156" s="6"/>
      <c r="G156" s="16"/>
      <c r="H156" s="16"/>
      <c r="I156" s="4" t="str">
        <f t="shared" si="7"/>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t="str">
        <f>IF(LEN(Table2[[#This Row],[!Length]]) &gt; 0, Table2[[#This Row],[!Length]], "rg:None")</f>
        <v>rg:None</v>
      </c>
      <c r="U156" s="4" t="str">
        <f>IF(LEN(Table2[[#This Row],[!Name]]) &gt; 0, Table2[[#This Row],[!Name]], "rg:None")</f>
        <v>appLastUpdateUserGuid</v>
      </c>
      <c r="V156"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156" s="14" t="str">
        <f>IF(LEN(Table2[[#This Row],[!FK]])&gt;0,Table2[[#This Row],[!FK]],"rg:None")</f>
        <v>rg:None</v>
      </c>
      <c r="X156" s="4" t="str">
        <f>IF(LEN(concatif2(A:A,Table2[[#This Row],[!Table]],G:G,"Y",D:D,",")) &gt; 0,"rg:[ { 'req' : '"&amp;concatif2(A:A,Table2[[#This Row],[!Table]],G:G,"Y",D:D,"' }, { 'req': '")&amp;"'} ]","rg:[]")</f>
        <v>rg:[ { 'req' : 'id'} ]</v>
      </c>
      <c r="Y156" s="14" t="str">
        <f>IF(LEN(Table2[[#This Row],[!Unique]])&gt;0,IF(Table2[[#This Row],[!Type]] = "id", "rg:None","rg:True"),"rg:None")</f>
        <v>rg:None</v>
      </c>
    </row>
    <row r="157" spans="1:25" x14ac:dyDescent="0.35">
      <c r="A157" s="43" t="s">
        <v>188</v>
      </c>
      <c r="B157" s="43" t="s">
        <v>7</v>
      </c>
      <c r="D157" s="43" t="s">
        <v>206</v>
      </c>
      <c r="E157" s="43" t="s">
        <v>210</v>
      </c>
      <c r="F157" s="6"/>
      <c r="G157" s="16"/>
      <c r="H157" s="16"/>
      <c r="I157" s="4" t="str">
        <f t="shared" si="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t="str">
        <f>IF(LEN(Table2[[#This Row],[!Length]]) &gt; 0, Table2[[#This Row],[!Length]], "rg:None")</f>
        <v>rg:None</v>
      </c>
      <c r="U157" s="4" t="str">
        <f>IF(LEN(Table2[[#This Row],[!Name]]) &gt; 0, Table2[[#This Row],[!Name]], "rg:None")</f>
        <v>appLastUpdateUserDirectory</v>
      </c>
      <c r="V157" s="4" t="str">
        <f>IF(LEN(Table2[[#This Row],[!Description]]) &gt; 0, Table2[[#This Row],[!Description]], "rg:None")</f>
        <v xml:space="preserve">The directory in which APP_LAST_UPDATE_USERID is defined. Valid values are 'IDIR', ' BCEID' or 'ORACLE'. </v>
      </c>
      <c r="W157" s="14" t="str">
        <f>IF(LEN(Table2[[#This Row],[!FK]])&gt;0,Table2[[#This Row],[!FK]],"rg:None")</f>
        <v>rg:None</v>
      </c>
      <c r="X157" s="4" t="str">
        <f>IF(LEN(concatif2(A:A,Table2[[#This Row],[!Table]],G:G,"Y",D:D,",")) &gt; 0,"rg:[ { 'req' : '"&amp;concatif2(A:A,Table2[[#This Row],[!Table]],G:G,"Y",D:D,"' }, { 'req': '")&amp;"'} ]","rg:[]")</f>
        <v>rg:[ { 'req' : 'id'} ]</v>
      </c>
      <c r="Y157" s="14" t="str">
        <f>IF(LEN(Table2[[#This Row],[!Unique]])&gt;0,IF(Table2[[#This Row],[!Type]] = "id", "rg:None","rg:True"),"rg:None")</f>
        <v>rg:None</v>
      </c>
    </row>
    <row r="158" spans="1:25" x14ac:dyDescent="0.35">
      <c r="A158" s="43" t="s">
        <v>188</v>
      </c>
      <c r="B158" s="43" t="s">
        <v>7</v>
      </c>
      <c r="D158" s="43" t="s">
        <v>207</v>
      </c>
      <c r="E158" s="43" t="s">
        <v>209</v>
      </c>
      <c r="F158" s="6"/>
      <c r="G158" s="16"/>
      <c r="H158" s="16"/>
      <c r="I158" s="4" t="str">
        <f t="shared" si="7"/>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t="str">
        <f>IF(LEN(Table2[[#This Row],[!Length]]) &gt; 0, Table2[[#This Row],[!Length]], "rg:None")</f>
        <v>rg:None</v>
      </c>
      <c r="U158" s="4" t="str">
        <f>IF(LEN(Table2[[#This Row],[!Name]]) &gt; 0, Table2[[#This Row],[!Name]], "rg:None")</f>
        <v>entityName</v>
      </c>
      <c r="V158" s="4" t="str">
        <f>IF(LEN(Table2[[#This Row],[!Description]]) &gt; 0, Table2[[#This Row],[!Description]], "rg:None")</f>
        <v>The name of the entity that has changed</v>
      </c>
      <c r="W158" s="14" t="str">
        <f>IF(LEN(Table2[[#This Row],[!FK]])&gt;0,Table2[[#This Row],[!FK]],"rg:None")</f>
        <v>rg:None</v>
      </c>
      <c r="X158" s="4" t="str">
        <f>IF(LEN(concatif2(A:A,Table2[[#This Row],[!Table]],G:G,"Y",D:D,",")) &gt; 0,"rg:[ { 'req' : '"&amp;concatif2(A:A,Table2[[#This Row],[!Table]],G:G,"Y",D:D,"' }, { 'req': '")&amp;"'} ]","rg:[]")</f>
        <v>rg:[ { 'req' : 'id'} ]</v>
      </c>
      <c r="Y158" s="14" t="str">
        <f>IF(LEN(Table2[[#This Row],[!Unique]])&gt;0,IF(Table2[[#This Row],[!Type]] = "id", "rg:None","rg:True"),"rg:None")</f>
        <v>rg:None</v>
      </c>
    </row>
    <row r="159" spans="1:25" x14ac:dyDescent="0.35">
      <c r="A159" s="46" t="s">
        <v>188</v>
      </c>
      <c r="B159" s="46" t="s">
        <v>12</v>
      </c>
      <c r="D159" s="46" t="s">
        <v>216</v>
      </c>
      <c r="E159" s="46" t="s">
        <v>217</v>
      </c>
      <c r="F159" s="6"/>
      <c r="G159" s="16"/>
      <c r="H159" s="16"/>
      <c r="I159" s="4" t="str">
        <f>IF(LEN(A159) &gt; 0,"Defs","-")</f>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entityId</v>
      </c>
      <c r="V159" s="4" t="str">
        <f>IF(LEN(Table2[[#This Row],[!Description]]) &gt; 0, Table2[[#This Row],[!Description]], "rg:None")</f>
        <v>The primary key in the entity that has changed</v>
      </c>
      <c r="W159" s="14" t="str">
        <f>IF(LEN(Table2[[#This Row],[!FK]])&gt;0,Table2[[#This Row],[!FK]],"rg:None")</f>
        <v>rg:None</v>
      </c>
      <c r="X159" s="4" t="str">
        <f>IF(LEN(concatif2(A:A,Table2[[#This Row],[!Table]],G:G,"Y",D:D,",")) &gt; 0,"rg:[ { 'req' : '"&amp;concatif2(A:A,Table2[[#This Row],[!Table]],G:G,"Y",D:D,"' }, { 'req': '")&amp;"'} ]","rg:[]")</f>
        <v>rg:[ { 'req' : 'id'} ]</v>
      </c>
      <c r="Y159" s="14" t="str">
        <f>IF(LEN(Table2[[#This Row],[!Unique]])&gt;0,IF(Table2[[#This Row],[!Type]] = "id", "rg:None","rg:True"),"rg:None")</f>
        <v>rg:None</v>
      </c>
    </row>
    <row r="160" spans="1:25" x14ac:dyDescent="0.35">
      <c r="A160" s="43" t="s">
        <v>188</v>
      </c>
      <c r="B160" s="43" t="s">
        <v>7</v>
      </c>
      <c r="D160" s="43" t="s">
        <v>189</v>
      </c>
      <c r="E160" s="43" t="s">
        <v>208</v>
      </c>
      <c r="F160" s="6"/>
      <c r="G160" s="16"/>
      <c r="H160" s="16"/>
      <c r="I160" s="4" t="str">
        <f t="shared" si="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t="str">
        <f>IF(LEN(Table2[[#This Row],[!Length]]) &gt; 0, Table2[[#This Row],[!Length]], "rg:None")</f>
        <v>rg:None</v>
      </c>
      <c r="U160" s="4" t="str">
        <f>IF(LEN(Table2[[#This Row],[!Name]]) &gt; 0, Table2[[#This Row],[!Name]], "rg:None")</f>
        <v>propertyName</v>
      </c>
      <c r="V160" s="4" t="str">
        <f>IF(LEN(Table2[[#This Row],[!Description]]) &gt; 0, Table2[[#This Row],[!Description]], "rg:None")</f>
        <v>The property that has changed</v>
      </c>
      <c r="W160" s="14" t="str">
        <f>IF(LEN(Table2[[#This Row],[!FK]])&gt;0,Table2[[#This Row],[!FK]],"rg:None")</f>
        <v>rg:None</v>
      </c>
      <c r="X160" s="4" t="str">
        <f>IF(LEN(concatif2(A:A,Table2[[#This Row],[!Table]],G:G,"Y",D:D,",")) &gt; 0,"rg:[ { 'req' : '"&amp;concatif2(A:A,Table2[[#This Row],[!Table]],G:G,"Y",D:D,"' }, { 'req': '")&amp;"'} ]","rg:[]")</f>
        <v>rg:[ { 'req' : 'id'} ]</v>
      </c>
      <c r="Y160" s="14" t="str">
        <f>IF(LEN(Table2[[#This Row],[!Unique]])&gt;0,IF(Table2[[#This Row],[!Type]] = "id", "rg:None","rg:True"),"rg:None")</f>
        <v>rg:None</v>
      </c>
    </row>
    <row r="161" spans="1:25" x14ac:dyDescent="0.35">
      <c r="A161" s="43" t="s">
        <v>188</v>
      </c>
      <c r="B161" s="43" t="s">
        <v>7</v>
      </c>
      <c r="D161" s="43" t="s">
        <v>190</v>
      </c>
      <c r="E161" s="43" t="s">
        <v>192</v>
      </c>
      <c r="F161" s="6"/>
      <c r="G161" s="16"/>
      <c r="H161" s="16"/>
      <c r="I161" s="4" t="str">
        <f t="shared" si="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t="str">
        <f>IF(LEN(Table2[[#This Row],[!Length]]) &gt; 0, Table2[[#This Row],[!Length]], "rg:None")</f>
        <v>rg:None</v>
      </c>
      <c r="U161" s="4" t="str">
        <f>IF(LEN(Table2[[#This Row],[!Name]]) &gt; 0, Table2[[#This Row],[!Name]], "rg:None")</f>
        <v>oldValue</v>
      </c>
      <c r="V161" s="4" t="str">
        <f>IF(LEN(Table2[[#This Row],[!Description]]) &gt; 0, Table2[[#This Row],[!Description]], "rg:None")</f>
        <v>The old value</v>
      </c>
      <c r="W161" s="14" t="str">
        <f>IF(LEN(Table2[[#This Row],[!FK]])&gt;0,Table2[[#This Row],[!FK]],"rg:None")</f>
        <v>rg:None</v>
      </c>
      <c r="X161" s="4" t="str">
        <f>IF(LEN(concatif2(A:A,Table2[[#This Row],[!Table]],G:G,"Y",D:D,",")) &gt; 0,"rg:[ { 'req' : '"&amp;concatif2(A:A,Table2[[#This Row],[!Table]],G:G,"Y",D:D,"' }, { 'req': '")&amp;"'} ]","rg:[]")</f>
        <v>rg:[ { 'req' : 'id'} ]</v>
      </c>
      <c r="Y161" s="14" t="str">
        <f>IF(LEN(Table2[[#This Row],[!Unique]])&gt;0,IF(Table2[[#This Row],[!Type]] = "id", "rg:None","rg:True"),"rg:None")</f>
        <v>rg:None</v>
      </c>
    </row>
    <row r="162" spans="1:25" x14ac:dyDescent="0.35">
      <c r="A162" s="43" t="s">
        <v>188</v>
      </c>
      <c r="B162" s="43" t="s">
        <v>7</v>
      </c>
      <c r="D162" s="43" t="s">
        <v>191</v>
      </c>
      <c r="E162" s="43" t="s">
        <v>193</v>
      </c>
      <c r="F162" s="6"/>
      <c r="G162" s="16"/>
      <c r="H162" s="16"/>
      <c r="I162" s="4" t="str">
        <f t="shared" si="7"/>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t="str">
        <f>IF(LEN(Table2[[#This Row],[!Length]]) &gt; 0, Table2[[#This Row],[!Length]], "rg:None")</f>
        <v>rg:None</v>
      </c>
      <c r="U162" s="4" t="str">
        <f>IF(LEN(Table2[[#This Row],[!Name]]) &gt; 0, Table2[[#This Row],[!Name]], "rg:None")</f>
        <v>newValue</v>
      </c>
      <c r="V162" s="4" t="str">
        <f>IF(LEN(Table2[[#This Row],[!Description]]) &gt; 0, Table2[[#This Row],[!Description]], "rg:None")</f>
        <v>The new value</v>
      </c>
      <c r="W162" s="14" t="str">
        <f>IF(LEN(Table2[[#This Row],[!FK]])&gt;0,Table2[[#This Row],[!FK]],"rg:None")</f>
        <v>rg:None</v>
      </c>
      <c r="X162" s="4" t="str">
        <f>IF(LEN(concatif2(A:A,Table2[[#This Row],[!Table]],G:G,"Y",D:D,",")) &gt; 0,"rg:[ { 'req' : '"&amp;concatif2(A:A,Table2[[#This Row],[!Table]],G:G,"Y",D:D,"' }, { 'req': '")&amp;"'} ]","rg:[]")</f>
        <v>rg:[ { 'req' : 'id'} ]</v>
      </c>
      <c r="Y162" s="14" t="str">
        <f>IF(LEN(Table2[[#This Row],[!Unique]])&gt;0,IF(Table2[[#This Row],[!Type]] = "id", "rg:None","rg:True"),"rg:None")</f>
        <v>rg:None</v>
      </c>
    </row>
    <row r="163" spans="1:25" x14ac:dyDescent="0.35">
      <c r="A163" s="43" t="s">
        <v>188</v>
      </c>
      <c r="B163" s="43" t="s">
        <v>10</v>
      </c>
      <c r="D163" s="43" t="s">
        <v>214</v>
      </c>
      <c r="E163" s="43" t="s">
        <v>215</v>
      </c>
      <c r="F163" s="6"/>
      <c r="G163" s="16"/>
      <c r="H163" s="16"/>
      <c r="I163" s="4" t="str">
        <f t="shared" si="7"/>
        <v>Defs</v>
      </c>
      <c r="J163" s="4" t="str">
        <f>IF(Table2[[#This Row],[!Type]]=J$1, J$1,"rg:None")</f>
        <v>boolean</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isDelete</v>
      </c>
      <c r="V163" s="4" t="str">
        <f>IF(LEN(Table2[[#This Row],[!Description]]) &gt; 0, Table2[[#This Row],[!Description]], "rg:None")</f>
        <v>If true the record was deleted</v>
      </c>
      <c r="W163" s="14" t="str">
        <f>IF(LEN(Table2[[#This Row],[!FK]])&gt;0,Table2[[#This Row],[!FK]],"rg:None")</f>
        <v>rg:None</v>
      </c>
      <c r="X163" s="4" t="str">
        <f>IF(LEN(concatif2(A:A,Table2[[#This Row],[!Table]],G:G,"Y",D:D,",")) &gt; 0,"rg:[ { 'req' : '"&amp;concatif2(A:A,Table2[[#This Row],[!Table]],G:G,"Y",D:D,"' }, { 'req': '")&amp;"'} ]","rg:[]")</f>
        <v>rg:[ { 'req' : 'id'} ]</v>
      </c>
      <c r="Y163" s="14"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5"/>
  <sheetViews>
    <sheetView zoomScale="130" zoomScaleNormal="130" workbookViewId="0">
      <pane ySplit="1" topLeftCell="A2" activePane="bottomLeft" state="frozen"/>
      <selection pane="bottomLeft" activeCell="A2" sqref="A2:A15"/>
    </sheetView>
  </sheetViews>
  <sheetFormatPr defaultColWidth="8.7265625" defaultRowHeight="16.100000000000001" x14ac:dyDescent="0.35"/>
  <cols>
    <col min="1" max="1" width="6.90625" style="5" bestFit="1" customWidth="1"/>
    <col min="2" max="2" width="16" style="5"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customWidth="1"/>
    <col min="9" max="21" width="8.7265625" style="5" customWidth="1"/>
    <col min="22" max="22" width="20.7265625" style="5" customWidth="1"/>
    <col min="23" max="16384" width="8.7265625" style="5"/>
  </cols>
  <sheetData>
    <row r="1" spans="1:22" s="1" customFormat="1" ht="14.4" x14ac:dyDescent="0.35">
      <c r="A1" s="1" t="s">
        <v>90</v>
      </c>
      <c r="B1" s="1" t="s">
        <v>91</v>
      </c>
      <c r="C1" s="1" t="s">
        <v>92</v>
      </c>
      <c r="D1" s="1" t="s">
        <v>93</v>
      </c>
      <c r="E1" s="1" t="s">
        <v>185</v>
      </c>
      <c r="F1" s="2" t="s">
        <v>94</v>
      </c>
      <c r="G1" s="1" t="s">
        <v>95</v>
      </c>
      <c r="H1" s="10" t="s">
        <v>72</v>
      </c>
      <c r="I1" s="10" t="s">
        <v>82</v>
      </c>
      <c r="J1" s="10" t="s">
        <v>83</v>
      </c>
      <c r="K1" s="10" t="s">
        <v>84</v>
      </c>
      <c r="L1" s="10" t="s">
        <v>85</v>
      </c>
      <c r="M1" s="10" t="s">
        <v>86</v>
      </c>
      <c r="N1" s="10" t="s">
        <v>87</v>
      </c>
      <c r="O1" s="10" t="s">
        <v>88</v>
      </c>
      <c r="P1" s="10" t="s">
        <v>89</v>
      </c>
      <c r="Q1" s="10" t="s">
        <v>78</v>
      </c>
      <c r="R1" s="10" t="s">
        <v>79</v>
      </c>
      <c r="S1" s="10" t="s">
        <v>80</v>
      </c>
      <c r="T1" s="10" t="s">
        <v>81</v>
      </c>
      <c r="U1" s="10" t="s">
        <v>1</v>
      </c>
      <c r="V1" s="1" t="s">
        <v>187</v>
      </c>
    </row>
    <row r="2" spans="1:22" x14ac:dyDescent="0.3">
      <c r="A2" s="49" t="s">
        <v>82</v>
      </c>
      <c r="B2" s="47" t="s">
        <v>220</v>
      </c>
      <c r="C2" s="47" t="s">
        <v>221</v>
      </c>
      <c r="D2" s="3"/>
      <c r="E2" s="3"/>
      <c r="F2" s="3"/>
      <c r="G2" s="3"/>
      <c r="H2" s="9" t="str">
        <f t="shared" ref="H2:H9" si="0">IF(LEN(A2) &gt;0,"Path","-")</f>
        <v>Path</v>
      </c>
      <c r="I2" s="9" t="str">
        <f>IF(LEN(Table23[[#This Row],[!type]])&gt;0,IF(Table23[[#This Row],[!type]]=I$1,"1","rg:None"),"-")</f>
        <v>1</v>
      </c>
      <c r="J2" s="9" t="str">
        <f>IF(LEN(Table23[[#This Row],[!type]])&gt;0,IF(Table23[[#This Row],[!type]]=J$1,"1","rg:None"),"-")</f>
        <v>rg:None</v>
      </c>
      <c r="K2" s="9" t="str">
        <f>IF(LEN(Table23[[#This Row],[!type]])&gt;0,IF(Table23[[#This Row],[!type]]=K$1,"1","rg:None"),"-")</f>
        <v>rg:None</v>
      </c>
      <c r="L2" s="9" t="str">
        <f>IF(LEN(Table23[[#This Row],[!type]])&gt;0,IF(Table23[[#This Row],[!type]]=L$1,"1","rg:None"),"-")</f>
        <v>rg:None</v>
      </c>
      <c r="M2" s="9" t="str">
        <f>IF(LEN(Table23[[#This Row],[!type]])&gt;0,IF(Table23[[#This Row],[!type]]=M$1,"1","rg:None"),"-")</f>
        <v>rg:None</v>
      </c>
      <c r="N2" s="9" t="str">
        <f>IF(LEN(Table23[[#This Row],[!type]])&gt;0,IF(Table23[[#This Row],[!type]]=N$1,"1","rg:None"),"-")</f>
        <v>rg:None</v>
      </c>
      <c r="O2" s="9" t="str">
        <f>IF(LEN(Table23[[#This Row],[!type]])&gt;0,IF(Table23[[#This Row],[!type]]=O$1,"1","rg:None"),"-")</f>
        <v>rg:None</v>
      </c>
      <c r="P2" s="9" t="str">
        <f>IF(LEN(Table23[[#This Row],[!type]])&gt;0,IF(Table23[[#This Row],[!type]]=P$1,"1","rg:None"),"-")</f>
        <v>rg:None</v>
      </c>
      <c r="Q2" s="9" t="str">
        <f>IF(LEN(Table23[[#This Row],[!path]]) &gt;0,Table23[[#This Row],[!path]],"rg:None")</f>
        <v>credittrades</v>
      </c>
      <c r="R2" s="9" t="str">
        <f>IF(LEN(Table23[[#This Row],[!tag]]) &gt;0,Table23[[#This Row],[!tag]],"rg:None")</f>
        <v>CreditTrade</v>
      </c>
      <c r="S2" s="9" t="str">
        <f>IF(LEN(Table23[[#This Row],[!paramDef]]) &gt;0,Table23[[#This Row],[!paramDef]],"rg:None")</f>
        <v>rg:None</v>
      </c>
      <c r="T2" s="9" t="str">
        <f>IF(LEN(Table23[[#This Row],[!respDef]]) &gt;0,Table23[[#This Row],[!respDef]],"rg:None")</f>
        <v>rg:None</v>
      </c>
      <c r="U2" s="9" t="str">
        <f>IF(LEN(Table23[[#This Row],[!Description]]) &gt;0,Table23[[#This Row],[!Description]],"rg:None")</f>
        <v>rg:None</v>
      </c>
      <c r="V2" s="4" t="str">
        <f>IF(LEN(Table23[[#This Row],[!permission]]) &gt;0,Table23[[#This Row],[!permission]],"rg:None")</f>
        <v>rg:None</v>
      </c>
    </row>
    <row r="3" spans="1:22" x14ac:dyDescent="0.3">
      <c r="A3" s="49" t="s">
        <v>82</v>
      </c>
      <c r="B3" s="49" t="s">
        <v>260</v>
      </c>
      <c r="C3" s="58" t="s">
        <v>227</v>
      </c>
      <c r="D3" s="4"/>
      <c r="E3" s="57"/>
      <c r="F3" s="12"/>
      <c r="G3" s="13"/>
      <c r="H3" s="14" t="str">
        <f>IF(LEN(A3) &gt;0,"Path","-")</f>
        <v>Path</v>
      </c>
      <c r="I3" s="14" t="str">
        <f>IF(LEN(Table23[[#This Row],[!type]])&gt;0,IF(Table23[[#This Row],[!type]]=I$1,"1","rg:None"),"-")</f>
        <v>1</v>
      </c>
      <c r="J3" s="14" t="str">
        <f>IF(LEN(Table23[[#This Row],[!type]])&gt;0,IF(Table23[[#This Row],[!type]]=J$1,"1","rg:None"),"-")</f>
        <v>rg:None</v>
      </c>
      <c r="K3" s="14" t="str">
        <f>IF(LEN(Table23[[#This Row],[!type]])&gt;0,IF(Table23[[#This Row],[!type]]=K$1,"1","rg:None"),"-")</f>
        <v>rg:None</v>
      </c>
      <c r="L3" s="14" t="str">
        <f>IF(LEN(Table23[[#This Row],[!type]])&gt;0,IF(Table23[[#This Row],[!type]]=L$1,"1","rg:None"),"-")</f>
        <v>rg:None</v>
      </c>
      <c r="M3" s="14" t="str">
        <f>IF(LEN(Table23[[#This Row],[!type]])&gt;0,IF(Table23[[#This Row],[!type]]=M$1,"1","rg:None"),"-")</f>
        <v>rg:None</v>
      </c>
      <c r="N3" s="14" t="str">
        <f>IF(LEN(Table23[[#This Row],[!type]])&gt;0,IF(Table23[[#This Row],[!type]]=N$1,"1","rg:None"),"-")</f>
        <v>rg:None</v>
      </c>
      <c r="O3" s="14" t="str">
        <f>IF(LEN(Table23[[#This Row],[!type]])&gt;0,IF(Table23[[#This Row],[!type]]=O$1,"1","rg:None"),"-")</f>
        <v>rg:None</v>
      </c>
      <c r="P3" s="14" t="str">
        <f>IF(LEN(Table23[[#This Row],[!type]])&gt;0,IF(Table23[[#This Row],[!type]]=P$1,"1","rg:None"),"-")</f>
        <v>rg:None</v>
      </c>
      <c r="Q3" s="14" t="str">
        <f>IF(LEN(Table23[[#This Row],[!path]]) &gt;0,Table23[[#This Row],[!path]],"rg:None")</f>
        <v>fuelsuppliers</v>
      </c>
      <c r="R3" s="14" t="str">
        <f>IF(LEN(Table23[[#This Row],[!tag]]) &gt;0,Table23[[#This Row],[!tag]],"rg:None")</f>
        <v>FuelSupplier</v>
      </c>
      <c r="S3" s="14" t="str">
        <f>IF(LEN(Table23[[#This Row],[!paramDef]]) &gt;0,Table23[[#This Row],[!paramDef]],"rg:None")</f>
        <v>rg:None</v>
      </c>
      <c r="T3" s="14" t="str">
        <f>IF(LEN(Table23[[#This Row],[!respDef]]) &gt;0,Table23[[#This Row],[!respDef]],"rg:None")</f>
        <v>rg:None</v>
      </c>
      <c r="U3" s="14" t="str">
        <f>IF(LEN(Table23[[#This Row],[!Description]]) &gt;0,Table23[[#This Row],[!Description]],"rg:None")</f>
        <v>rg:None</v>
      </c>
      <c r="V3" s="4" t="str">
        <f>IF(LEN(Table23[[#This Row],[!permission]]) &gt;0,Table23[[#This Row],[!permission]],"rg:None")</f>
        <v>rg:None</v>
      </c>
    </row>
    <row r="4" spans="1:22" x14ac:dyDescent="0.3">
      <c r="A4" s="49" t="s">
        <v>82</v>
      </c>
      <c r="B4" s="47" t="s">
        <v>218</v>
      </c>
      <c r="C4" s="47" t="s">
        <v>219</v>
      </c>
      <c r="D4" s="47"/>
      <c r="E4" s="3"/>
      <c r="F4" s="3"/>
      <c r="G4" s="3"/>
      <c r="H4" s="9"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credittradetradelogentries</v>
      </c>
      <c r="R4" s="5" t="str">
        <f>IF(LEN(Table23[[#This Row],[!tag]]) &gt;0,Table23[[#This Row],[!tag]],"rg:None")</f>
        <v>CreditTradeLogEntry</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9" t="s">
        <v>82</v>
      </c>
      <c r="B5" s="49" t="s">
        <v>262</v>
      </c>
      <c r="C5" s="58" t="s">
        <v>228</v>
      </c>
      <c r="D5" s="50"/>
      <c r="E5" s="57"/>
      <c r="F5" s="12"/>
      <c r="G5" s="13"/>
      <c r="H5" s="14" t="str">
        <f>IF(LEN(A5) &gt;0,"Path","-")</f>
        <v>Path</v>
      </c>
      <c r="I5" s="4" t="str">
        <f>IF(LEN(Table23[[#This Row],[!type]])&gt;0,IF(Table23[[#This Row],[!type]]=I$1,"1","rg:None"),"-")</f>
        <v>1</v>
      </c>
      <c r="J5" s="4" t="str">
        <f>IF(LEN(Table23[[#This Row],[!type]])&gt;0,IF(Table23[[#This Row],[!type]]=J$1,"1","rg:None"),"-")</f>
        <v>rg:None</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complianceperiods</v>
      </c>
      <c r="R5" s="4" t="str">
        <f>IF(LEN(Table23[[#This Row],[!tag]]) &gt;0,Table23[[#This Row],[!tag]],"rg:None")</f>
        <v>CompliancePeriod</v>
      </c>
      <c r="S5" s="4" t="str">
        <f>IF(LEN(Table23[[#This Row],[!paramDef]]) &gt;0,Table23[[#This Row],[!paramDef]],"rg:None")</f>
        <v>rg:None</v>
      </c>
      <c r="T5" s="4" t="str">
        <f>IF(LEN(Table23[[#This Row],[!respDef]]) &gt;0,Table23[[#This Row],[!respDef]],"rg:None")</f>
        <v>rg:None</v>
      </c>
      <c r="U5" s="4" t="str">
        <f>IF(LEN(Table23[[#This Row],[!Description]]) &gt;0,Table23[[#This Row],[!Description]],"rg:None")</f>
        <v>rg:None</v>
      </c>
      <c r="V5" s="4" t="str">
        <f>IF(LEN(Table23[[#This Row],[!permission]]) &gt;0,Table23[[#This Row],[!permission]],"rg:None")</f>
        <v>rg:None</v>
      </c>
    </row>
    <row r="6" spans="1:22" x14ac:dyDescent="0.3">
      <c r="A6" s="49" t="s">
        <v>82</v>
      </c>
      <c r="B6" s="49" t="s">
        <v>261</v>
      </c>
      <c r="C6" s="58" t="s">
        <v>249</v>
      </c>
      <c r="D6" s="4"/>
      <c r="E6" s="57"/>
      <c r="F6" s="12"/>
      <c r="G6" s="13"/>
      <c r="H6" s="14" t="str">
        <f>IF(LEN(A6) &gt;0,"Path","-")</f>
        <v>Path</v>
      </c>
      <c r="I6" s="14" t="str">
        <f>IF(LEN(Table23[[#This Row],[!type]])&gt;0,IF(Table23[[#This Row],[!type]]=I$1,"1","rg:None"),"-")</f>
        <v>1</v>
      </c>
      <c r="J6" s="14" t="str">
        <f>IF(LEN(Table23[[#This Row],[!type]])&gt;0,IF(Table23[[#This Row],[!type]]=J$1,"1","rg:None"),"-")</f>
        <v>rg:None</v>
      </c>
      <c r="K6" s="14" t="str">
        <f>IF(LEN(Table23[[#This Row],[!type]])&gt;0,IF(Table23[[#This Row],[!type]]=K$1,"1","rg:None"),"-")</f>
        <v>rg:None</v>
      </c>
      <c r="L6" s="14" t="str">
        <f>IF(LEN(Table23[[#This Row],[!type]])&gt;0,IF(Table23[[#This Row],[!type]]=L$1,"1","rg:None"),"-")</f>
        <v>rg:None</v>
      </c>
      <c r="M6" s="14" t="str">
        <f>IF(LEN(Table23[[#This Row],[!type]])&gt;0,IF(Table23[[#This Row],[!type]]=M$1,"1","rg:None"),"-")</f>
        <v>rg:None</v>
      </c>
      <c r="N6" s="14" t="str">
        <f>IF(LEN(Table23[[#This Row],[!type]])&gt;0,IF(Table23[[#This Row],[!type]]=N$1,"1","rg:None"),"-")</f>
        <v>rg:None</v>
      </c>
      <c r="O6" s="14" t="str">
        <f>IF(LEN(Table23[[#This Row],[!type]])&gt;0,IF(Table23[[#This Row],[!type]]=O$1,"1","rg:None"),"-")</f>
        <v>rg:None</v>
      </c>
      <c r="P6" s="14" t="str">
        <f>IF(LEN(Table23[[#This Row],[!type]])&gt;0,IF(Table23[[#This Row],[!type]]=P$1,"1","rg:None"),"-")</f>
        <v>rg:None</v>
      </c>
      <c r="Q6" s="14" t="str">
        <f>IF(LEN(Table23[[#This Row],[!path]]) &gt;0,Table23[[#This Row],[!path]],"rg:None")</f>
        <v>lookuplists</v>
      </c>
      <c r="R6" s="14" t="str">
        <f>IF(LEN(Table23[[#This Row],[!tag]]) &gt;0,Table23[[#This Row],[!tag]],"rg:None")</f>
        <v>LookupList</v>
      </c>
      <c r="S6" s="14" t="str">
        <f>IF(LEN(Table23[[#This Row],[!paramDef]]) &gt;0,Table23[[#This Row],[!paramDef]],"rg:None")</f>
        <v>rg:None</v>
      </c>
      <c r="T6" s="14" t="str">
        <f>IF(LEN(Table23[[#This Row],[!respDef]]) &gt;0,Table23[[#This Row],[!respDef]],"rg:None")</f>
        <v>rg:None</v>
      </c>
      <c r="U6" s="14" t="str">
        <f>IF(LEN(Table23[[#This Row],[!Description]]) &gt;0,Table23[[#This Row],[!Description]],"rg:None")</f>
        <v>rg:None</v>
      </c>
      <c r="V6" s="4" t="str">
        <f>IF(LEN(Table23[[#This Row],[!permission]]) &gt;0,Table23[[#This Row],[!permission]],"rg:None")</f>
        <v>rg:None</v>
      </c>
    </row>
    <row r="7" spans="1:22" x14ac:dyDescent="0.3">
      <c r="A7" s="49" t="s">
        <v>82</v>
      </c>
      <c r="B7" s="26" t="s">
        <v>26</v>
      </c>
      <c r="C7" s="26" t="s">
        <v>111</v>
      </c>
      <c r="D7" s="3"/>
      <c r="E7" s="3"/>
      <c r="F7" s="3"/>
      <c r="G7" s="3"/>
      <c r="H7" s="9" t="str">
        <f t="shared" si="0"/>
        <v>Path</v>
      </c>
      <c r="I7" s="5" t="str">
        <f>IF(LEN(Table23[[#This Row],[!type]])&gt;0,IF(Table23[[#This Row],[!type]]=I$1,"1","rg:None"),"-")</f>
        <v>1</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Row],[!type]])&gt;0,IF(Table23[[#This Row],[!type]]=P$1,"1","rg:None"),"-")</f>
        <v>rg:None</v>
      </c>
      <c r="Q7" s="5" t="str">
        <f>IF(LEN(Table23[[#This Row],[!path]]) &gt;0,Table23[[#This Row],[!path]],"rg:None")</f>
        <v>notes</v>
      </c>
      <c r="R7" s="5" t="str">
        <f>IF(LEN(Table23[[#This Row],[!tag]]) &gt;0,Table23[[#This Row],[!tag]],"rg:None")</f>
        <v>Note</v>
      </c>
      <c r="S7" s="5" t="str">
        <f>IF(LEN(Table23[[#This Row],[!paramDef]]) &gt;0,Table23[[#This Row],[!paramDef]],"rg:None")</f>
        <v>rg:None</v>
      </c>
      <c r="T7" s="5" t="str">
        <f>IF(LEN(Table23[[#This Row],[!respDef]]) &gt;0,Table23[[#This Row],[!respDef]],"rg:None")</f>
        <v>rg:None</v>
      </c>
      <c r="U7" s="5" t="str">
        <f>IF(LEN(Table23[[#This Row],[!Description]]) &gt;0,Table23[[#This Row],[!Description]],"rg:None")</f>
        <v>rg:None</v>
      </c>
      <c r="V7" s="4" t="str">
        <f>IF(LEN(Table23[[#This Row],[!permission]]) &gt;0,Table23[[#This Row],[!permission]],"rg:None")</f>
        <v>rg:None</v>
      </c>
    </row>
    <row r="8" spans="1:22" x14ac:dyDescent="0.3">
      <c r="A8" s="49" t="s">
        <v>82</v>
      </c>
      <c r="B8" s="26" t="s">
        <v>112</v>
      </c>
      <c r="C8" s="26" t="s">
        <v>113</v>
      </c>
      <c r="D8" s="3"/>
      <c r="E8" s="3"/>
      <c r="F8" s="3"/>
      <c r="G8" s="3"/>
      <c r="H8" s="9"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attachments</v>
      </c>
      <c r="R8" s="5" t="str">
        <f>IF(LEN(Table23[[#This Row],[!tag]]) &gt;0,Table23[[#This Row],[!tag]],"rg:None")</f>
        <v>Attachment</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9" t="s">
        <v>82</v>
      </c>
      <c r="B9" s="26" t="s">
        <v>127</v>
      </c>
      <c r="C9" s="26" t="s">
        <v>115</v>
      </c>
      <c r="D9" s="3"/>
      <c r="E9" s="3"/>
      <c r="F9" s="3"/>
      <c r="G9" s="3"/>
      <c r="H9" s="9" t="str">
        <f t="shared" si="0"/>
        <v>Path</v>
      </c>
      <c r="I9" s="5" t="str">
        <f>IF(LEN(Table23[[#This Row],[!type]])&gt;0,IF(Table23[[#This Row],[!type]]=I$1,"1","rg:None"),"-")</f>
        <v>1</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Row],[!type]])&gt;0,IF(Table23[[#This Row],[!type]]=P$1,"1","rg:None"),"-")</f>
        <v>rg:None</v>
      </c>
      <c r="Q9" s="5" t="str">
        <f>IF(LEN(Table23[[#This Row],[!path]]) &gt;0,Table23[[#This Row],[!path]],"rg:None")</f>
        <v>histories</v>
      </c>
      <c r="R9" s="5" t="str">
        <f>IF(LEN(Table23[[#This Row],[!tag]]) &gt;0,Table23[[#This Row],[!tag]],"rg:None")</f>
        <v>History</v>
      </c>
      <c r="S9" s="5" t="str">
        <f>IF(LEN(Table23[[#This Row],[!paramDef]]) &gt;0,Table23[[#This Row],[!paramDef]],"rg:None")</f>
        <v>rg:None</v>
      </c>
      <c r="T9" s="5" t="str">
        <f>IF(LEN(Table23[[#This Row],[!respDef]]) &gt;0,Table23[[#This Row],[!respDef]],"rg:None")</f>
        <v>rg:None</v>
      </c>
      <c r="U9" s="5" t="str">
        <f>IF(LEN(Table23[[#This Row],[!Description]]) &gt;0,Table23[[#This Row],[!Description]],"rg:None")</f>
        <v>rg:None</v>
      </c>
      <c r="V9" s="4" t="str">
        <f>IF(LEN(Table23[[#This Row],[!permission]]) &gt;0,Table23[[#This Row],[!permission]],"rg:None")</f>
        <v>rg:None</v>
      </c>
    </row>
    <row r="10" spans="1:22" x14ac:dyDescent="0.3">
      <c r="A10" s="49" t="s">
        <v>82</v>
      </c>
      <c r="B10" s="26" t="s">
        <v>20</v>
      </c>
      <c r="C10" s="26" t="s">
        <v>118</v>
      </c>
      <c r="D10" s="3"/>
      <c r="E10" s="3"/>
      <c r="F10" s="3"/>
      <c r="G10" s="3"/>
      <c r="H10" s="9" t="str">
        <f>IF(LEN(A10) &gt;0,"Path","-")</f>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contacts</v>
      </c>
      <c r="R10" s="5" t="str">
        <f>IF(LEN(Table23[[#This Row],[!tag]]) &gt;0,Table23[[#This Row],[!tag]],"rg:None")</f>
        <v>Contact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9" t="s">
        <v>82</v>
      </c>
      <c r="B11" s="11" t="s">
        <v>103</v>
      </c>
      <c r="C11" s="3" t="s">
        <v>43</v>
      </c>
      <c r="D11" s="3"/>
      <c r="E11" s="3"/>
      <c r="F11" s="3"/>
      <c r="G11" s="3"/>
      <c r="H11" s="9" t="str">
        <f>IF(LEN(A11) &gt;0,"Path","-")</f>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notifications</v>
      </c>
      <c r="R11" s="5" t="str">
        <f>IF(LEN(Table23[[#This Row],[!tag]]) &gt;0,Table23[[#This Row],[!tag]],"rg:None")</f>
        <v>Notification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49" t="s">
        <v>82</v>
      </c>
      <c r="B12" s="11" t="s">
        <v>102</v>
      </c>
      <c r="C12" s="3" t="s">
        <v>45</v>
      </c>
      <c r="D12" s="3"/>
      <c r="E12" s="3"/>
      <c r="F12" s="3"/>
      <c r="G12" s="3"/>
      <c r="H12" s="9" t="str">
        <f>IF(LEN(A12) &gt;0,"Path","-")</f>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notificationevents</v>
      </c>
      <c r="R12" s="5" t="str">
        <f>IF(LEN(Table23[[#This Row],[!tag]]) &gt;0,Table23[[#This Row],[!tag]],"rg:None")</f>
        <v>NotificationEvent</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9" t="s">
        <v>82</v>
      </c>
      <c r="B13" s="11" t="s">
        <v>104</v>
      </c>
      <c r="C13" s="3" t="s">
        <v>68</v>
      </c>
      <c r="D13" s="3"/>
      <c r="E13" s="34" t="s">
        <v>186</v>
      </c>
      <c r="F13" s="3"/>
      <c r="G13" s="3"/>
      <c r="H13" s="9" t="str">
        <f t="shared" ref="H13:H15" si="1">IF(LEN(A13) &gt;0,"Path","-")</f>
        <v>Path</v>
      </c>
      <c r="I13" s="5" t="str">
        <f>IF(LEN(Table23[[#This Row],[!type]])&gt;0,IF(Table23[[#This Row],[!type]]=I$1,"1","rg:None"),"-")</f>
        <v>1</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Row],[!type]])&gt;0,IF(Table23[[#This Row],[!type]]=P$1,"1","rg:None"),"-")</f>
        <v>rg:None</v>
      </c>
      <c r="Q13" s="5" t="str">
        <f>IF(LEN(Table23[[#This Row],[!path]]) &gt;0,Table23[[#This Row],[!path]],"rg:None")</f>
        <v>groups</v>
      </c>
      <c r="R13" s="5" t="str">
        <f>IF(LEN(Table23[[#This Row],[!tag]]) &gt;0,Table23[[#This Row],[!tag]],"rg:None")</f>
        <v>Group</v>
      </c>
      <c r="S13" s="5" t="str">
        <f>IF(LEN(Table23[[#This Row],[!paramDef]]) &gt;0,Table23[[#This Row],[!paramDef]],"rg:None")</f>
        <v>rg:None</v>
      </c>
      <c r="T13" s="5" t="str">
        <f>IF(LEN(Table23[[#This Row],[!respDef]]) &gt;0,Table23[[#This Row],[!respDef]],"rg:None")</f>
        <v>rg:None</v>
      </c>
      <c r="U13" s="5" t="str">
        <f>IF(LEN(Table23[[#This Row],[!Description]]) &gt;0,Table23[[#This Row],[!Description]],"rg:None")</f>
        <v>rg:None</v>
      </c>
      <c r="V13" s="4" t="str">
        <f>IF(LEN(Table23[[#This Row],[!permission]]) &gt;0,Table23[[#This Row],[!permission]],"rg:None")</f>
        <v>ADMIN</v>
      </c>
    </row>
    <row r="14" spans="1:22" x14ac:dyDescent="0.3">
      <c r="A14" s="49" t="s">
        <v>82</v>
      </c>
      <c r="B14" s="11" t="s">
        <v>105</v>
      </c>
      <c r="C14" s="3" t="s">
        <v>64</v>
      </c>
      <c r="D14" s="15" t="s">
        <v>107</v>
      </c>
      <c r="E14" s="34" t="s">
        <v>186</v>
      </c>
      <c r="F14" s="3"/>
      <c r="G14" s="3"/>
      <c r="H14" s="9" t="str">
        <f t="shared" si="1"/>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permissions</v>
      </c>
      <c r="R14" s="5" t="str">
        <f>IF(LEN(Table23[[#This Row],[!tag]]) &gt;0,Table23[[#This Row],[!tag]],"rg:None")</f>
        <v>Permission</v>
      </c>
      <c r="S14" s="5" t="str">
        <f>IF(LEN(Table23[[#This Row],[!paramDef]]) &gt;0,Table23[[#This Row],[!paramDef]],"rg:None")</f>
        <v>PermissionViewModel</v>
      </c>
      <c r="T14" s="5" t="str">
        <f>IF(LEN(Table23[[#This Row],[!respDef]]) &gt;0,Table23[[#This Row],[!respDef]],"rg:None")</f>
        <v>rg:None</v>
      </c>
      <c r="U14" s="5" t="str">
        <f>IF(LEN(Table23[[#This Row],[!Description]]) &gt;0,Table23[[#This Row],[!Description]],"rg:None")</f>
        <v>rg:None</v>
      </c>
      <c r="V14" s="4" t="str">
        <f>IF(LEN(Table23[[#This Row],[!permission]]) &gt;0,Table23[[#This Row],[!permission]],"rg:None")</f>
        <v>ADMIN</v>
      </c>
    </row>
    <row r="15" spans="1:22" x14ac:dyDescent="0.3">
      <c r="A15" s="49" t="s">
        <v>82</v>
      </c>
      <c r="B15" s="11" t="s">
        <v>106</v>
      </c>
      <c r="C15" s="3" t="s">
        <v>61</v>
      </c>
      <c r="D15" s="15" t="s">
        <v>108</v>
      </c>
      <c r="E15" s="34" t="s">
        <v>186</v>
      </c>
      <c r="F15" s="3"/>
      <c r="G15" s="3"/>
      <c r="H15" s="9" t="str">
        <f t="shared" si="1"/>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roles</v>
      </c>
      <c r="R15" s="5" t="str">
        <f>IF(LEN(Table23[[#This Row],[!tag]]) &gt;0,Table23[[#This Row],[!tag]],"rg:None")</f>
        <v>Role</v>
      </c>
      <c r="S15" s="5" t="str">
        <f>IF(LEN(Table23[[#This Row],[!paramDef]]) &gt;0,Table23[[#This Row],[!paramDef]],"rg:None")</f>
        <v>RoleViewModel</v>
      </c>
      <c r="T15" s="5" t="str">
        <f>IF(LEN(Table23[[#This Row],[!respDef]]) &gt;0,Table23[[#This Row],[!respDef]],"rg:None")</f>
        <v>rg:None</v>
      </c>
      <c r="U15" s="5" t="str">
        <f>IF(LEN(Table23[[#This Row],[!Description]]) &gt;0,Table23[[#This Row],[!Description]],"rg:None")</f>
        <v>rg:None</v>
      </c>
      <c r="V15"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72</v>
      </c>
      <c r="B1" t="s">
        <v>75</v>
      </c>
    </row>
    <row r="2" spans="1:2" x14ac:dyDescent="0.35">
      <c r="A2" t="s">
        <v>77</v>
      </c>
      <c r="B2"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72</v>
      </c>
      <c r="B1" s="7" t="s">
        <v>75</v>
      </c>
    </row>
    <row r="2" spans="1:2" x14ac:dyDescent="0.35">
      <c r="A2" t="s">
        <v>77</v>
      </c>
      <c r="B2" t="s">
        <v>109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2017-04-19T20:38:15Z</dcterms:modified>
</cp:coreProperties>
</file>